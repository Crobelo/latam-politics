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o\Desktop\FSU\latam-politics\"/>
    </mc:Choice>
  </mc:AlternateContent>
  <xr:revisionPtr revIDLastSave="0" documentId="13_ncr:1_{91DA11DE-7EAB-4212-ADEA-A6239D7245EF}" xr6:coauthVersionLast="47" xr6:coauthVersionMax="47" xr10:uidLastSave="{00000000-0000-0000-0000-000000000000}"/>
  <bookViews>
    <workbookView xWindow="28680" yWindow="-120" windowWidth="19440" windowHeight="15000" xr2:uid="{FB8E4E32-6192-4C55-9760-6F52414BE9FD}"/>
  </bookViews>
  <sheets>
    <sheet name="Grade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3" i="1"/>
  <c r="N22" i="1"/>
  <c r="N13" i="1"/>
  <c r="N4" i="1"/>
  <c r="N5" i="1"/>
  <c r="N6" i="1"/>
  <c r="N7" i="1"/>
  <c r="N8" i="1"/>
  <c r="N9" i="1"/>
  <c r="N10" i="1"/>
  <c r="N11" i="1"/>
  <c r="N12" i="1"/>
  <c r="N14" i="1"/>
  <c r="N15" i="1"/>
  <c r="N16" i="1"/>
  <c r="N17" i="1"/>
  <c r="N18" i="1"/>
  <c r="N19" i="1"/>
  <c r="N20" i="1"/>
  <c r="N21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3" i="1"/>
</calcChain>
</file>

<file path=xl/sharedStrings.xml><?xml version="1.0" encoding="utf-8"?>
<sst xmlns="http://schemas.openxmlformats.org/spreadsheetml/2006/main" count="448" uniqueCount="173">
  <si>
    <t>Student</t>
  </si>
  <si>
    <t>ID</t>
  </si>
  <si>
    <t>SIS User ID</t>
  </si>
  <si>
    <t>SIS Login ID</t>
  </si>
  <si>
    <t>Root Account</t>
  </si>
  <si>
    <t>Section</t>
  </si>
  <si>
    <t>Quiz #1 (2713048)</t>
  </si>
  <si>
    <t>Quiz #2 (2713049)</t>
  </si>
  <si>
    <t>Quiz #3 (2713051)</t>
  </si>
  <si>
    <t>Quiz #4 (2713052)</t>
  </si>
  <si>
    <t>Discussion Board #1 (2709198)</t>
  </si>
  <si>
    <t>Discussion Board #2 (2709199)</t>
  </si>
  <si>
    <t>Discussion Board #3 (2709200)</t>
  </si>
  <si>
    <t>Discussion Board #4 (2709201)</t>
  </si>
  <si>
    <t>Discussion Board #5 (2709202)</t>
  </si>
  <si>
    <t>Midterm (2713050)</t>
  </si>
  <si>
    <t>Final (2713053)</t>
  </si>
  <si>
    <t>Assignments Current Score</t>
  </si>
  <si>
    <t>Assignments Unposted Current Score</t>
  </si>
  <si>
    <t>Assignments Final Score</t>
  </si>
  <si>
    <t>Assignments Unposted Final Score</t>
  </si>
  <si>
    <t>Quizzes Current Score</t>
  </si>
  <si>
    <t>Quizzes Unposted Current Score</t>
  </si>
  <si>
    <t>Quizzes Final Score</t>
  </si>
  <si>
    <t>Quizzes Unposted Final Score</t>
  </si>
  <si>
    <t>Discussions Current Score</t>
  </si>
  <si>
    <t>Discussions Unposted Current Score</t>
  </si>
  <si>
    <t>Discussions Final Score</t>
  </si>
  <si>
    <t>Discussions Unposted Final Score</t>
  </si>
  <si>
    <t>Midterm Current Score</t>
  </si>
  <si>
    <t>Midterm Unposted Current Score</t>
  </si>
  <si>
    <t>Midterm Final Score</t>
  </si>
  <si>
    <t>Midterm Unposted Final Score</t>
  </si>
  <si>
    <t>Video Presentation Current Score</t>
  </si>
  <si>
    <t>Video Presentation Unposted Current Score</t>
  </si>
  <si>
    <t>Video Presentation Final Score</t>
  </si>
  <si>
    <t>Video Presentation Unposted Final Score</t>
  </si>
  <si>
    <t>Final Exam Current Score</t>
  </si>
  <si>
    <t>Final Exam Unposted Current Score</t>
  </si>
  <si>
    <t>Final Exam Final Score</t>
  </si>
  <si>
    <t>Final Exam Unposted Final Score</t>
  </si>
  <si>
    <t>Round up Current Score</t>
  </si>
  <si>
    <t>Round up Unposted Current Score</t>
  </si>
  <si>
    <t>Round up Final Score</t>
  </si>
  <si>
    <t>Round up Unposted Final Score</t>
  </si>
  <si>
    <t>Imported Assignments Current Score</t>
  </si>
  <si>
    <t>Imported Assignments Unposted Current Score</t>
  </si>
  <si>
    <t>Imported Assignments Final Score</t>
  </si>
  <si>
    <t>Imported Assignments Unposted Final Score</t>
  </si>
  <si>
    <t>Current Score</t>
  </si>
  <si>
    <t>Unposted Current Score</t>
  </si>
  <si>
    <t>Final Score</t>
  </si>
  <si>
    <t>Unposted Final Score</t>
  </si>
  <si>
    <t>Current Grade</t>
  </si>
  <si>
    <t>Unposted Current Grade</t>
  </si>
  <si>
    <t>Final Grade</t>
  </si>
  <si>
    <t>Unposted Final Grade</t>
  </si>
  <si>
    <t xml:space="preserve">    Points Possible</t>
  </si>
  <si>
    <t>(read only)</t>
  </si>
  <si>
    <t>Alvarez, Gianna</t>
  </si>
  <si>
    <t>gka23</t>
  </si>
  <si>
    <t>canvas.fsu.edu</t>
  </si>
  <si>
    <t>A</t>
  </si>
  <si>
    <t>F</t>
  </si>
  <si>
    <t>Arriola, Diego</t>
  </si>
  <si>
    <t>dga24</t>
  </si>
  <si>
    <t>Babb, Alaina</t>
  </si>
  <si>
    <t>aeb22y</t>
  </si>
  <si>
    <t>B-</t>
  </si>
  <si>
    <t>Blagrove, Danaye</t>
  </si>
  <si>
    <t>dob21</t>
  </si>
  <si>
    <t>Broussard, Tabitha</t>
  </si>
  <si>
    <t>tjb24a</t>
  </si>
  <si>
    <t>Campos Lam, Camila</t>
  </si>
  <si>
    <t>cmc23q</t>
  </si>
  <si>
    <t>Casas, Sofia</t>
  </si>
  <si>
    <t>smc22n</t>
  </si>
  <si>
    <t>Castillo, Madeline (Maddie)</t>
  </si>
  <si>
    <t>mlc22g</t>
  </si>
  <si>
    <t>Cereja, Catarina</t>
  </si>
  <si>
    <t>ckc22c</t>
  </si>
  <si>
    <t>Chavis, Tahja</t>
  </si>
  <si>
    <t>tchavis</t>
  </si>
  <si>
    <t>A-</t>
  </si>
  <si>
    <t>Cruz, Erick</t>
  </si>
  <si>
    <t>eec23d</t>
  </si>
  <si>
    <t>Davis, Raheim</t>
  </si>
  <si>
    <t>rwd23</t>
  </si>
  <si>
    <t>Dizon, Brianna</t>
  </si>
  <si>
    <t>bjd22c</t>
  </si>
  <si>
    <t>Dorceus, Mikaela</t>
  </si>
  <si>
    <t>mbd23a</t>
  </si>
  <si>
    <t>D-</t>
  </si>
  <si>
    <t>Easterbrook, Taylor</t>
  </si>
  <si>
    <t>tre23a</t>
  </si>
  <si>
    <t>Elliott, Leah</t>
  </si>
  <si>
    <t>lge22a</t>
  </si>
  <si>
    <t>Fernandez, Maria</t>
  </si>
  <si>
    <t>maf23n</t>
  </si>
  <si>
    <t>Foster, Dayna</t>
  </si>
  <si>
    <t>dmf20ca</t>
  </si>
  <si>
    <t>Fowler, John</t>
  </si>
  <si>
    <t>jf24bb</t>
  </si>
  <si>
    <t>Francis, Joshua Samuel</t>
  </si>
  <si>
    <t>jef22e</t>
  </si>
  <si>
    <t>B</t>
  </si>
  <si>
    <t>Fundora, Olivya</t>
  </si>
  <si>
    <t>ovf22</t>
  </si>
  <si>
    <t>Garcia, Ella</t>
  </si>
  <si>
    <t>erg22</t>
  </si>
  <si>
    <t>Hallas, Morea</t>
  </si>
  <si>
    <t>mbh22c</t>
  </si>
  <si>
    <t>Hartline, Kaylee</t>
  </si>
  <si>
    <t>kjh23f</t>
  </si>
  <si>
    <t>Homann, Nicholas</t>
  </si>
  <si>
    <t>nph20</t>
  </si>
  <si>
    <t>Kunala, Ishani</t>
  </si>
  <si>
    <t>igk23a</t>
  </si>
  <si>
    <t>Margaryan, David</t>
  </si>
  <si>
    <t>dam23o</t>
  </si>
  <si>
    <t>Martin, Alexis</t>
  </si>
  <si>
    <t>atm22e</t>
  </si>
  <si>
    <t>Medina, Jillian</t>
  </si>
  <si>
    <t>jlm23b</t>
  </si>
  <si>
    <t>Molina, Jaylene</t>
  </si>
  <si>
    <t>jjm22d</t>
  </si>
  <si>
    <t>Morrison, Jeanie</t>
  </si>
  <si>
    <t>jlm22</t>
  </si>
  <si>
    <t>Musso, Briana</t>
  </si>
  <si>
    <t>bnm24c</t>
  </si>
  <si>
    <t>Noel, Sierra</t>
  </si>
  <si>
    <t>san24c</t>
  </si>
  <si>
    <t>Patterson, Emma</t>
  </si>
  <si>
    <t>ep22b</t>
  </si>
  <si>
    <t>Penias, Nicole</t>
  </si>
  <si>
    <t>nmp23</t>
  </si>
  <si>
    <t>Ramos-Vivoni, Andres</t>
  </si>
  <si>
    <t>aer19k</t>
  </si>
  <si>
    <t>C-</t>
  </si>
  <si>
    <t>Reas, McKenna</t>
  </si>
  <si>
    <t>mlr23b</t>
  </si>
  <si>
    <t>Rosa, Kaiden</t>
  </si>
  <si>
    <t>kar24e</t>
  </si>
  <si>
    <t>Selig, Joshua</t>
  </si>
  <si>
    <t>jds23g</t>
  </si>
  <si>
    <t>Simmons, Damian</t>
  </si>
  <si>
    <t>dls21a</t>
  </si>
  <si>
    <t>Singletary, Nelson</t>
  </si>
  <si>
    <t>nzs22b</t>
  </si>
  <si>
    <t>Sobalvarro, Eden</t>
  </si>
  <si>
    <t>eas22f</t>
  </si>
  <si>
    <t>Thomas, Kylee</t>
  </si>
  <si>
    <t>kat22i</t>
  </si>
  <si>
    <t>Tully, Emily</t>
  </si>
  <si>
    <t>egt23</t>
  </si>
  <si>
    <t>Vinces, Abigail</t>
  </si>
  <si>
    <t>av22bx</t>
  </si>
  <si>
    <t>Walters, Kayla</t>
  </si>
  <si>
    <t>kmw23j</t>
  </si>
  <si>
    <t>Warren, Holland</t>
  </si>
  <si>
    <t>haw24a</t>
  </si>
  <si>
    <t>Yeager, Hayden</t>
  </si>
  <si>
    <t>hay22</t>
  </si>
  <si>
    <t>Zavaleta, Veronica</t>
  </si>
  <si>
    <t>vtz23</t>
  </si>
  <si>
    <t>Student, Test</t>
  </si>
  <si>
    <t>8e776d0df03811a16a62e820a7b94731dd0d39f5</t>
  </si>
  <si>
    <t>Post 1</t>
  </si>
  <si>
    <t>Reply 1.2</t>
  </si>
  <si>
    <t>Reply 1.1 (reference)</t>
  </si>
  <si>
    <t>Post 2</t>
  </si>
  <si>
    <t>Reply 2.1 (reference)</t>
  </si>
  <si>
    <t>Reply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</si>
</sst>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CEE4-FD94-4709-8675-25CE1B6D4E21}">
  <dimension ref="A1:BK52"/>
  <sheetViews>
    <sheetView tabSelected="1" workbookViewId="0">
      <pane ySplit="1" topLeftCell="A2" activePane="bottomLeft" state="frozen"/>
      <selection pane="bottomLeft" activeCell="R24" sqref="R24"/>
    </sheetView>
  </sheetViews>
  <sheetFormatPr baseColWidth="10" defaultRowHeight="15" x14ac:dyDescent="0.25"/>
  <cols>
    <col min="1" max="1" width="25.5703125" bestFit="1" customWidth="1"/>
    <col min="2" max="11" width="0" hidden="1" customWidth="1"/>
    <col min="12" max="12" width="18.85546875" hidden="1" customWidth="1"/>
    <col min="13" max="13" width="0" hidden="1" customWidth="1"/>
    <col min="14" max="14" width="28.28515625" hidden="1" customWidth="1"/>
    <col min="15" max="15" width="6.28515625" bestFit="1" customWidth="1"/>
    <col min="16" max="16" width="18.85546875" bestFit="1" customWidth="1"/>
    <col min="17" max="17" width="8.710937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167</v>
      </c>
      <c r="L1" t="s">
        <v>169</v>
      </c>
      <c r="M1" t="s">
        <v>168</v>
      </c>
      <c r="N1" t="s">
        <v>10</v>
      </c>
      <c r="O1" t="s">
        <v>170</v>
      </c>
      <c r="P1" t="s">
        <v>171</v>
      </c>
      <c r="Q1" t="s">
        <v>172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</row>
    <row r="2" spans="1:63" x14ac:dyDescent="0.25">
      <c r="A2" t="s">
        <v>57</v>
      </c>
      <c r="G2">
        <v>5</v>
      </c>
      <c r="H2">
        <v>5</v>
      </c>
      <c r="I2">
        <v>5</v>
      </c>
      <c r="J2">
        <v>5</v>
      </c>
      <c r="N2">
        <v>5</v>
      </c>
      <c r="R2">
        <v>5</v>
      </c>
      <c r="S2">
        <v>5</v>
      </c>
      <c r="T2">
        <v>5</v>
      </c>
      <c r="U2">
        <v>5</v>
      </c>
      <c r="V2">
        <v>15</v>
      </c>
      <c r="W2">
        <v>25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58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t="s">
        <v>58</v>
      </c>
      <c r="AX2" t="s">
        <v>58</v>
      </c>
      <c r="AY2" t="s">
        <v>58</v>
      </c>
      <c r="AZ2" t="s">
        <v>58</v>
      </c>
      <c r="BA2" t="s">
        <v>58</v>
      </c>
      <c r="BB2" t="s">
        <v>58</v>
      </c>
      <c r="BC2" t="s">
        <v>58</v>
      </c>
      <c r="BD2" t="s">
        <v>58</v>
      </c>
      <c r="BE2" t="s">
        <v>58</v>
      </c>
      <c r="BF2" t="s">
        <v>58</v>
      </c>
      <c r="BG2" t="s">
        <v>58</v>
      </c>
      <c r="BH2" t="s">
        <v>58</v>
      </c>
      <c r="BI2" t="s">
        <v>58</v>
      </c>
      <c r="BJ2" t="s">
        <v>58</v>
      </c>
      <c r="BK2" t="s">
        <v>58</v>
      </c>
    </row>
    <row r="3" spans="1:63" x14ac:dyDescent="0.25">
      <c r="A3" t="s">
        <v>59</v>
      </c>
      <c r="B3">
        <v>328149</v>
      </c>
      <c r="C3">
        <v>201061485</v>
      </c>
      <c r="D3" t="s">
        <v>60</v>
      </c>
      <c r="E3" t="s">
        <v>61</v>
      </c>
      <c r="F3">
        <v>1</v>
      </c>
      <c r="G3">
        <v>5</v>
      </c>
      <c r="K3">
        <v>3</v>
      </c>
      <c r="L3">
        <v>1</v>
      </c>
      <c r="N3">
        <f>SUM(K3:M3)</f>
        <v>4</v>
      </c>
      <c r="O3">
        <v>3</v>
      </c>
      <c r="P3">
        <v>1</v>
      </c>
      <c r="R3">
        <f>SUM(O3:Q3)</f>
        <v>4</v>
      </c>
      <c r="AB3">
        <v>100</v>
      </c>
      <c r="AC3">
        <v>100</v>
      </c>
      <c r="AD3">
        <v>25</v>
      </c>
      <c r="AE3">
        <v>25</v>
      </c>
      <c r="AH3">
        <v>0</v>
      </c>
      <c r="AI3">
        <v>0</v>
      </c>
      <c r="AL3">
        <v>0</v>
      </c>
      <c r="AM3">
        <v>0</v>
      </c>
      <c r="AT3">
        <v>0</v>
      </c>
      <c r="AU3">
        <v>0</v>
      </c>
      <c r="BD3">
        <v>100</v>
      </c>
      <c r="BE3">
        <v>100</v>
      </c>
      <c r="BF3">
        <v>5.88</v>
      </c>
      <c r="BG3">
        <v>5.88</v>
      </c>
      <c r="BH3" t="s">
        <v>62</v>
      </c>
      <c r="BI3" t="s">
        <v>62</v>
      </c>
      <c r="BJ3" t="s">
        <v>63</v>
      </c>
      <c r="BK3" t="s">
        <v>63</v>
      </c>
    </row>
    <row r="4" spans="1:63" x14ac:dyDescent="0.25">
      <c r="A4" t="s">
        <v>64</v>
      </c>
      <c r="B4">
        <v>368419</v>
      </c>
      <c r="C4">
        <v>201173734</v>
      </c>
      <c r="D4" t="s">
        <v>65</v>
      </c>
      <c r="E4" t="s">
        <v>61</v>
      </c>
      <c r="F4">
        <v>1</v>
      </c>
      <c r="G4">
        <v>5</v>
      </c>
      <c r="K4">
        <v>0</v>
      </c>
      <c r="N4">
        <f t="shared" ref="N4:N52" si="0">SUM(K4:M4)</f>
        <v>0</v>
      </c>
      <c r="O4">
        <v>3</v>
      </c>
      <c r="P4">
        <v>1</v>
      </c>
      <c r="Q4">
        <v>1</v>
      </c>
      <c r="R4">
        <f t="shared" ref="R4:R52" si="1">SUM(O4:Q4)</f>
        <v>5</v>
      </c>
      <c r="AB4">
        <v>100</v>
      </c>
      <c r="AC4">
        <v>100</v>
      </c>
      <c r="AD4">
        <v>25</v>
      </c>
      <c r="AE4">
        <v>25</v>
      </c>
      <c r="AH4">
        <v>0</v>
      </c>
      <c r="AI4">
        <v>0</v>
      </c>
      <c r="AL4">
        <v>0</v>
      </c>
      <c r="AM4">
        <v>0</v>
      </c>
      <c r="AT4">
        <v>0</v>
      </c>
      <c r="AU4">
        <v>0</v>
      </c>
      <c r="BD4">
        <v>100</v>
      </c>
      <c r="BE4">
        <v>100</v>
      </c>
      <c r="BF4">
        <v>5.88</v>
      </c>
      <c r="BG4">
        <v>5.88</v>
      </c>
      <c r="BH4" t="s">
        <v>62</v>
      </c>
      <c r="BI4" t="s">
        <v>62</v>
      </c>
      <c r="BJ4" t="s">
        <v>63</v>
      </c>
      <c r="BK4" t="s">
        <v>63</v>
      </c>
    </row>
    <row r="5" spans="1:63" x14ac:dyDescent="0.25">
      <c r="A5" t="s">
        <v>66</v>
      </c>
      <c r="B5">
        <v>303876</v>
      </c>
      <c r="C5">
        <v>201002952</v>
      </c>
      <c r="D5" t="s">
        <v>67</v>
      </c>
      <c r="E5" t="s">
        <v>61</v>
      </c>
      <c r="F5">
        <v>1</v>
      </c>
      <c r="G5">
        <v>4</v>
      </c>
      <c r="K5">
        <v>3</v>
      </c>
      <c r="L5">
        <v>1</v>
      </c>
      <c r="M5">
        <v>1</v>
      </c>
      <c r="N5">
        <f t="shared" si="0"/>
        <v>5</v>
      </c>
      <c r="O5">
        <v>3</v>
      </c>
      <c r="P5">
        <v>1</v>
      </c>
      <c r="R5">
        <f t="shared" si="1"/>
        <v>4</v>
      </c>
      <c r="AB5">
        <v>80</v>
      </c>
      <c r="AC5">
        <v>80</v>
      </c>
      <c r="AD5">
        <v>20</v>
      </c>
      <c r="AE5">
        <v>20</v>
      </c>
      <c r="AH5">
        <v>0</v>
      </c>
      <c r="AI5">
        <v>0</v>
      </c>
      <c r="AL5">
        <v>0</v>
      </c>
      <c r="AM5">
        <v>0</v>
      </c>
      <c r="AT5">
        <v>0</v>
      </c>
      <c r="AU5">
        <v>0</v>
      </c>
      <c r="BD5">
        <v>80</v>
      </c>
      <c r="BE5">
        <v>80</v>
      </c>
      <c r="BF5">
        <v>4.71</v>
      </c>
      <c r="BG5">
        <v>4.71</v>
      </c>
      <c r="BH5" t="s">
        <v>68</v>
      </c>
      <c r="BI5" t="s">
        <v>68</v>
      </c>
      <c r="BJ5" t="s">
        <v>63</v>
      </c>
      <c r="BK5" t="s">
        <v>63</v>
      </c>
    </row>
    <row r="6" spans="1:63" x14ac:dyDescent="0.25">
      <c r="A6" t="s">
        <v>69</v>
      </c>
      <c r="B6">
        <v>218457</v>
      </c>
      <c r="C6">
        <v>200778447</v>
      </c>
      <c r="D6" t="s">
        <v>70</v>
      </c>
      <c r="E6" t="s">
        <v>61</v>
      </c>
      <c r="F6">
        <v>1</v>
      </c>
      <c r="G6">
        <v>5</v>
      </c>
      <c r="K6">
        <v>3</v>
      </c>
      <c r="L6">
        <v>1</v>
      </c>
      <c r="M6">
        <v>1</v>
      </c>
      <c r="N6">
        <f t="shared" si="0"/>
        <v>5</v>
      </c>
      <c r="O6">
        <v>3</v>
      </c>
      <c r="Q6">
        <v>1</v>
      </c>
      <c r="R6">
        <f t="shared" si="1"/>
        <v>4</v>
      </c>
      <c r="AB6">
        <v>100</v>
      </c>
      <c r="AC6">
        <v>100</v>
      </c>
      <c r="AD6">
        <v>25</v>
      </c>
      <c r="AE6">
        <v>25</v>
      </c>
      <c r="AH6">
        <v>0</v>
      </c>
      <c r="AI6">
        <v>0</v>
      </c>
      <c r="AL6">
        <v>0</v>
      </c>
      <c r="AM6">
        <v>0</v>
      </c>
      <c r="AT6">
        <v>0</v>
      </c>
      <c r="AU6">
        <v>0</v>
      </c>
      <c r="BD6">
        <v>100</v>
      </c>
      <c r="BE6">
        <v>100</v>
      </c>
      <c r="BF6">
        <v>5.88</v>
      </c>
      <c r="BG6">
        <v>5.88</v>
      </c>
      <c r="BH6" t="s">
        <v>62</v>
      </c>
      <c r="BI6" t="s">
        <v>62</v>
      </c>
      <c r="BJ6" t="s">
        <v>63</v>
      </c>
      <c r="BK6" t="s">
        <v>63</v>
      </c>
    </row>
    <row r="7" spans="1:63" x14ac:dyDescent="0.25">
      <c r="A7" t="s">
        <v>71</v>
      </c>
      <c r="B7">
        <v>381493</v>
      </c>
      <c r="C7">
        <v>201216333</v>
      </c>
      <c r="D7" t="s">
        <v>72</v>
      </c>
      <c r="E7" t="s">
        <v>61</v>
      </c>
      <c r="F7">
        <v>1</v>
      </c>
      <c r="G7">
        <v>5</v>
      </c>
      <c r="K7">
        <v>3</v>
      </c>
      <c r="L7">
        <v>1</v>
      </c>
      <c r="M7">
        <v>1</v>
      </c>
      <c r="N7">
        <f t="shared" si="0"/>
        <v>5</v>
      </c>
      <c r="O7">
        <v>3</v>
      </c>
      <c r="Q7">
        <v>1</v>
      </c>
      <c r="R7">
        <f t="shared" si="1"/>
        <v>4</v>
      </c>
      <c r="AB7">
        <v>100</v>
      </c>
      <c r="AC7">
        <v>100</v>
      </c>
      <c r="AD7">
        <v>25</v>
      </c>
      <c r="AE7">
        <v>25</v>
      </c>
      <c r="AH7">
        <v>0</v>
      </c>
      <c r="AI7">
        <v>0</v>
      </c>
      <c r="AL7">
        <v>0</v>
      </c>
      <c r="AM7">
        <v>0</v>
      </c>
      <c r="AT7">
        <v>0</v>
      </c>
      <c r="AU7">
        <v>0</v>
      </c>
      <c r="BD7">
        <v>100</v>
      </c>
      <c r="BE7">
        <v>100</v>
      </c>
      <c r="BF7">
        <v>5.88</v>
      </c>
      <c r="BG7">
        <v>5.88</v>
      </c>
      <c r="BH7" t="s">
        <v>62</v>
      </c>
      <c r="BI7" t="s">
        <v>62</v>
      </c>
      <c r="BJ7" t="s">
        <v>63</v>
      </c>
      <c r="BK7" t="s">
        <v>63</v>
      </c>
    </row>
    <row r="8" spans="1:63" x14ac:dyDescent="0.25">
      <c r="A8" t="s">
        <v>73</v>
      </c>
      <c r="B8">
        <v>336161</v>
      </c>
      <c r="C8">
        <v>201093571</v>
      </c>
      <c r="D8" t="s">
        <v>74</v>
      </c>
      <c r="E8" t="s">
        <v>61</v>
      </c>
      <c r="F8">
        <v>1</v>
      </c>
      <c r="G8">
        <v>5</v>
      </c>
      <c r="K8">
        <v>3</v>
      </c>
      <c r="L8">
        <v>1</v>
      </c>
      <c r="M8">
        <v>1</v>
      </c>
      <c r="N8">
        <f t="shared" si="0"/>
        <v>5</v>
      </c>
      <c r="O8">
        <v>3</v>
      </c>
      <c r="P8">
        <v>1</v>
      </c>
      <c r="Q8">
        <v>1</v>
      </c>
      <c r="R8">
        <f t="shared" si="1"/>
        <v>5</v>
      </c>
      <c r="AB8">
        <v>100</v>
      </c>
      <c r="AC8">
        <v>100</v>
      </c>
      <c r="AD8">
        <v>25</v>
      </c>
      <c r="AE8">
        <v>25</v>
      </c>
      <c r="AH8">
        <v>0</v>
      </c>
      <c r="AI8">
        <v>0</v>
      </c>
      <c r="AL8">
        <v>0</v>
      </c>
      <c r="AM8">
        <v>0</v>
      </c>
      <c r="AT8">
        <v>0</v>
      </c>
      <c r="AU8">
        <v>0</v>
      </c>
      <c r="BD8">
        <v>100</v>
      </c>
      <c r="BE8">
        <v>100</v>
      </c>
      <c r="BF8">
        <v>5.88</v>
      </c>
      <c r="BG8">
        <v>5.88</v>
      </c>
      <c r="BH8" t="s">
        <v>62</v>
      </c>
      <c r="BI8" t="s">
        <v>62</v>
      </c>
      <c r="BJ8" t="s">
        <v>63</v>
      </c>
      <c r="BK8" t="s">
        <v>63</v>
      </c>
    </row>
    <row r="9" spans="1:63" x14ac:dyDescent="0.25">
      <c r="A9" t="s">
        <v>75</v>
      </c>
      <c r="B9">
        <v>308252</v>
      </c>
      <c r="C9">
        <v>201010047</v>
      </c>
      <c r="D9" t="s">
        <v>76</v>
      </c>
      <c r="E9" t="s">
        <v>61</v>
      </c>
      <c r="F9">
        <v>1</v>
      </c>
      <c r="G9">
        <v>4</v>
      </c>
      <c r="K9">
        <v>3</v>
      </c>
      <c r="L9">
        <v>1</v>
      </c>
      <c r="M9">
        <v>1</v>
      </c>
      <c r="N9">
        <f t="shared" si="0"/>
        <v>5</v>
      </c>
      <c r="O9">
        <v>3</v>
      </c>
      <c r="P9">
        <v>1</v>
      </c>
      <c r="Q9">
        <v>1</v>
      </c>
      <c r="R9">
        <f t="shared" si="1"/>
        <v>5</v>
      </c>
      <c r="AB9">
        <v>80</v>
      </c>
      <c r="AC9">
        <v>80</v>
      </c>
      <c r="AD9">
        <v>20</v>
      </c>
      <c r="AE9">
        <v>20</v>
      </c>
      <c r="AH9">
        <v>0</v>
      </c>
      <c r="AI9">
        <v>0</v>
      </c>
      <c r="AL9">
        <v>0</v>
      </c>
      <c r="AM9">
        <v>0</v>
      </c>
      <c r="AT9">
        <v>0</v>
      </c>
      <c r="AU9">
        <v>0</v>
      </c>
      <c r="BD9">
        <v>80</v>
      </c>
      <c r="BE9">
        <v>80</v>
      </c>
      <c r="BF9">
        <v>4.71</v>
      </c>
      <c r="BG9">
        <v>4.71</v>
      </c>
      <c r="BH9" t="s">
        <v>68</v>
      </c>
      <c r="BI9" t="s">
        <v>68</v>
      </c>
      <c r="BJ9" t="s">
        <v>63</v>
      </c>
      <c r="BK9" t="s">
        <v>63</v>
      </c>
    </row>
    <row r="10" spans="1:63" x14ac:dyDescent="0.25">
      <c r="A10" t="s">
        <v>77</v>
      </c>
      <c r="B10">
        <v>269997</v>
      </c>
      <c r="C10">
        <v>200916447</v>
      </c>
      <c r="D10" t="s">
        <v>78</v>
      </c>
      <c r="E10" t="s">
        <v>61</v>
      </c>
      <c r="F10">
        <v>1</v>
      </c>
      <c r="G10">
        <v>5</v>
      </c>
      <c r="K10">
        <v>3</v>
      </c>
      <c r="L10">
        <v>1</v>
      </c>
      <c r="M10">
        <v>1</v>
      </c>
      <c r="N10">
        <f t="shared" si="0"/>
        <v>5</v>
      </c>
      <c r="O10">
        <v>3</v>
      </c>
      <c r="P10">
        <v>1</v>
      </c>
      <c r="Q10">
        <v>1</v>
      </c>
      <c r="R10">
        <f t="shared" si="1"/>
        <v>5</v>
      </c>
      <c r="AB10">
        <v>100</v>
      </c>
      <c r="AC10">
        <v>100</v>
      </c>
      <c r="AD10">
        <v>25</v>
      </c>
      <c r="AE10">
        <v>25</v>
      </c>
      <c r="AH10">
        <v>0</v>
      </c>
      <c r="AI10">
        <v>0</v>
      </c>
      <c r="AL10">
        <v>0</v>
      </c>
      <c r="AM10">
        <v>0</v>
      </c>
      <c r="AT10">
        <v>0</v>
      </c>
      <c r="AU10">
        <v>0</v>
      </c>
      <c r="BD10">
        <v>100</v>
      </c>
      <c r="BE10">
        <v>100</v>
      </c>
      <c r="BF10">
        <v>5.88</v>
      </c>
      <c r="BG10">
        <v>5.88</v>
      </c>
      <c r="BH10" t="s">
        <v>62</v>
      </c>
      <c r="BI10" t="s">
        <v>62</v>
      </c>
      <c r="BJ10" t="s">
        <v>63</v>
      </c>
      <c r="BK10" t="s">
        <v>63</v>
      </c>
    </row>
    <row r="11" spans="1:63" x14ac:dyDescent="0.25">
      <c r="A11" t="s">
        <v>79</v>
      </c>
      <c r="B11">
        <v>283367</v>
      </c>
      <c r="C11">
        <v>200962621</v>
      </c>
      <c r="D11" t="s">
        <v>80</v>
      </c>
      <c r="E11" t="s">
        <v>61</v>
      </c>
      <c r="F11">
        <v>1</v>
      </c>
      <c r="G11">
        <v>5</v>
      </c>
      <c r="K11">
        <v>3</v>
      </c>
      <c r="L11">
        <v>1</v>
      </c>
      <c r="M11">
        <v>1</v>
      </c>
      <c r="N11">
        <f t="shared" si="0"/>
        <v>5</v>
      </c>
      <c r="O11">
        <v>3</v>
      </c>
      <c r="P11">
        <v>1</v>
      </c>
      <c r="Q11">
        <v>1</v>
      </c>
      <c r="R11">
        <f t="shared" si="1"/>
        <v>5</v>
      </c>
      <c r="AB11">
        <v>100</v>
      </c>
      <c r="AC11">
        <v>100</v>
      </c>
      <c r="AD11">
        <v>25</v>
      </c>
      <c r="AE11">
        <v>25</v>
      </c>
      <c r="AH11">
        <v>0</v>
      </c>
      <c r="AI11">
        <v>0</v>
      </c>
      <c r="AL11">
        <v>0</v>
      </c>
      <c r="AM11">
        <v>0</v>
      </c>
      <c r="AT11">
        <v>0</v>
      </c>
      <c r="AU11">
        <v>0</v>
      </c>
      <c r="BD11">
        <v>100</v>
      </c>
      <c r="BE11">
        <v>100</v>
      </c>
      <c r="BF11">
        <v>5.88</v>
      </c>
      <c r="BG11">
        <v>5.88</v>
      </c>
      <c r="BH11" t="s">
        <v>62</v>
      </c>
      <c r="BI11" t="s">
        <v>62</v>
      </c>
      <c r="BJ11" t="s">
        <v>63</v>
      </c>
      <c r="BK11" t="s">
        <v>63</v>
      </c>
    </row>
    <row r="12" spans="1:63" x14ac:dyDescent="0.25">
      <c r="A12" t="s">
        <v>81</v>
      </c>
      <c r="B12">
        <v>250217</v>
      </c>
      <c r="C12">
        <v>114254</v>
      </c>
      <c r="D12" t="s">
        <v>82</v>
      </c>
      <c r="E12" t="s">
        <v>61</v>
      </c>
      <c r="F12">
        <v>1</v>
      </c>
      <c r="G12">
        <v>4.5</v>
      </c>
      <c r="K12">
        <v>3</v>
      </c>
      <c r="L12">
        <v>1</v>
      </c>
      <c r="M12">
        <v>1</v>
      </c>
      <c r="N12">
        <f t="shared" si="0"/>
        <v>5</v>
      </c>
      <c r="O12">
        <v>3</v>
      </c>
      <c r="P12">
        <v>1</v>
      </c>
      <c r="Q12">
        <v>1</v>
      </c>
      <c r="R12">
        <f t="shared" si="1"/>
        <v>5</v>
      </c>
      <c r="AB12">
        <v>90</v>
      </c>
      <c r="AC12">
        <v>90</v>
      </c>
      <c r="AD12">
        <v>22.5</v>
      </c>
      <c r="AE12">
        <v>22.5</v>
      </c>
      <c r="AH12">
        <v>0</v>
      </c>
      <c r="AI12">
        <v>0</v>
      </c>
      <c r="AL12">
        <v>0</v>
      </c>
      <c r="AM12">
        <v>0</v>
      </c>
      <c r="AT12">
        <v>0</v>
      </c>
      <c r="AU12">
        <v>0</v>
      </c>
      <c r="BD12">
        <v>90</v>
      </c>
      <c r="BE12">
        <v>90</v>
      </c>
      <c r="BF12">
        <v>5.29</v>
      </c>
      <c r="BG12">
        <v>5.29</v>
      </c>
      <c r="BH12" t="s">
        <v>83</v>
      </c>
      <c r="BI12" t="s">
        <v>83</v>
      </c>
      <c r="BJ12" t="s">
        <v>63</v>
      </c>
      <c r="BK12" t="s">
        <v>63</v>
      </c>
    </row>
    <row r="13" spans="1:63" x14ac:dyDescent="0.25">
      <c r="A13" t="s">
        <v>84</v>
      </c>
      <c r="B13">
        <v>354062</v>
      </c>
      <c r="C13">
        <v>200763422</v>
      </c>
      <c r="D13" t="s">
        <v>85</v>
      </c>
      <c r="E13" t="s">
        <v>61</v>
      </c>
      <c r="F13">
        <v>1</v>
      </c>
      <c r="G13">
        <v>5</v>
      </c>
      <c r="K13">
        <v>2</v>
      </c>
      <c r="M13">
        <v>1</v>
      </c>
      <c r="N13">
        <f t="shared" si="0"/>
        <v>3</v>
      </c>
      <c r="O13">
        <v>2</v>
      </c>
      <c r="R13">
        <f t="shared" si="1"/>
        <v>2</v>
      </c>
      <c r="AB13">
        <v>100</v>
      </c>
      <c r="AC13">
        <v>100</v>
      </c>
      <c r="AD13">
        <v>25</v>
      </c>
      <c r="AE13">
        <v>25</v>
      </c>
      <c r="AH13">
        <v>0</v>
      </c>
      <c r="AI13">
        <v>0</v>
      </c>
      <c r="AL13">
        <v>0</v>
      </c>
      <c r="AM13">
        <v>0</v>
      </c>
      <c r="AT13">
        <v>0</v>
      </c>
      <c r="AU13">
        <v>0</v>
      </c>
      <c r="BD13">
        <v>100</v>
      </c>
      <c r="BE13">
        <v>100</v>
      </c>
      <c r="BF13">
        <v>5.88</v>
      </c>
      <c r="BG13">
        <v>5.88</v>
      </c>
      <c r="BH13" t="s">
        <v>62</v>
      </c>
      <c r="BI13" t="s">
        <v>62</v>
      </c>
      <c r="BJ13" t="s">
        <v>63</v>
      </c>
      <c r="BK13" t="s">
        <v>63</v>
      </c>
    </row>
    <row r="14" spans="1:63" x14ac:dyDescent="0.25">
      <c r="A14" t="s">
        <v>86</v>
      </c>
      <c r="B14">
        <v>313572</v>
      </c>
      <c r="C14">
        <v>200928226</v>
      </c>
      <c r="D14" t="s">
        <v>87</v>
      </c>
      <c r="E14" t="s">
        <v>61</v>
      </c>
      <c r="F14">
        <v>1</v>
      </c>
      <c r="G14">
        <v>5</v>
      </c>
      <c r="H14">
        <v>4</v>
      </c>
      <c r="K14">
        <v>3</v>
      </c>
      <c r="L14">
        <v>1</v>
      </c>
      <c r="M14">
        <v>1</v>
      </c>
      <c r="N14">
        <f t="shared" si="0"/>
        <v>5</v>
      </c>
      <c r="O14">
        <v>3</v>
      </c>
      <c r="P14">
        <v>1</v>
      </c>
      <c r="R14">
        <f t="shared" si="1"/>
        <v>4</v>
      </c>
      <c r="AB14">
        <v>90</v>
      </c>
      <c r="AC14">
        <v>90</v>
      </c>
      <c r="AD14">
        <v>45</v>
      </c>
      <c r="AE14">
        <v>45</v>
      </c>
      <c r="AH14">
        <v>0</v>
      </c>
      <c r="AI14">
        <v>0</v>
      </c>
      <c r="AL14">
        <v>0</v>
      </c>
      <c r="AM14">
        <v>0</v>
      </c>
      <c r="AT14">
        <v>0</v>
      </c>
      <c r="AU14">
        <v>0</v>
      </c>
      <c r="BD14">
        <v>90</v>
      </c>
      <c r="BE14">
        <v>90</v>
      </c>
      <c r="BF14">
        <v>10.59</v>
      </c>
      <c r="BG14">
        <v>10.59</v>
      </c>
      <c r="BH14" t="s">
        <v>83</v>
      </c>
      <c r="BI14" t="s">
        <v>83</v>
      </c>
      <c r="BJ14" t="s">
        <v>63</v>
      </c>
      <c r="BK14" t="s">
        <v>63</v>
      </c>
    </row>
    <row r="15" spans="1:63" x14ac:dyDescent="0.25">
      <c r="A15" t="s">
        <v>88</v>
      </c>
      <c r="B15">
        <v>281900</v>
      </c>
      <c r="C15">
        <v>200866699</v>
      </c>
      <c r="D15" t="s">
        <v>89</v>
      </c>
      <c r="E15" t="s">
        <v>61</v>
      </c>
      <c r="F15">
        <v>1</v>
      </c>
      <c r="G15">
        <v>4.5</v>
      </c>
      <c r="K15">
        <v>3</v>
      </c>
      <c r="L15">
        <v>1</v>
      </c>
      <c r="M15">
        <v>1</v>
      </c>
      <c r="N15">
        <f t="shared" si="0"/>
        <v>5</v>
      </c>
      <c r="O15">
        <v>3</v>
      </c>
      <c r="P15">
        <v>1</v>
      </c>
      <c r="Q15">
        <v>1</v>
      </c>
      <c r="R15">
        <f t="shared" si="1"/>
        <v>5</v>
      </c>
      <c r="AB15">
        <v>90</v>
      </c>
      <c r="AC15">
        <v>90</v>
      </c>
      <c r="AD15">
        <v>22.5</v>
      </c>
      <c r="AE15">
        <v>22.5</v>
      </c>
      <c r="AH15">
        <v>0</v>
      </c>
      <c r="AI15">
        <v>0</v>
      </c>
      <c r="AL15">
        <v>0</v>
      </c>
      <c r="AM15">
        <v>0</v>
      </c>
      <c r="AT15">
        <v>0</v>
      </c>
      <c r="AU15">
        <v>0</v>
      </c>
      <c r="BD15">
        <v>90</v>
      </c>
      <c r="BE15">
        <v>90</v>
      </c>
      <c r="BF15">
        <v>5.29</v>
      </c>
      <c r="BG15">
        <v>5.29</v>
      </c>
      <c r="BH15" t="s">
        <v>83</v>
      </c>
      <c r="BI15" t="s">
        <v>83</v>
      </c>
      <c r="BJ15" t="s">
        <v>63</v>
      </c>
      <c r="BK15" t="s">
        <v>63</v>
      </c>
    </row>
    <row r="16" spans="1:63" x14ac:dyDescent="0.25">
      <c r="A16" t="s">
        <v>90</v>
      </c>
      <c r="B16">
        <v>333244</v>
      </c>
      <c r="C16">
        <v>201009530</v>
      </c>
      <c r="D16" t="s">
        <v>91</v>
      </c>
      <c r="E16" t="s">
        <v>61</v>
      </c>
      <c r="F16">
        <v>1</v>
      </c>
      <c r="G16">
        <v>3</v>
      </c>
      <c r="K16">
        <v>3</v>
      </c>
      <c r="M16">
        <v>1</v>
      </c>
      <c r="N16">
        <f>SUM(K16:M16)</f>
        <v>4</v>
      </c>
      <c r="O16">
        <v>3</v>
      </c>
      <c r="Q16">
        <v>1</v>
      </c>
      <c r="R16">
        <f t="shared" si="1"/>
        <v>4</v>
      </c>
      <c r="AB16">
        <v>60</v>
      </c>
      <c r="AC16">
        <v>60</v>
      </c>
      <c r="AD16">
        <v>15</v>
      </c>
      <c r="AE16">
        <v>15</v>
      </c>
      <c r="AH16">
        <v>0</v>
      </c>
      <c r="AI16">
        <v>0</v>
      </c>
      <c r="AL16">
        <v>0</v>
      </c>
      <c r="AM16">
        <v>0</v>
      </c>
      <c r="AT16">
        <v>0</v>
      </c>
      <c r="AU16">
        <v>0</v>
      </c>
      <c r="BD16">
        <v>60</v>
      </c>
      <c r="BE16">
        <v>60</v>
      </c>
      <c r="BF16">
        <v>3.53</v>
      </c>
      <c r="BG16">
        <v>3.53</v>
      </c>
      <c r="BH16" t="s">
        <v>92</v>
      </c>
      <c r="BI16" t="s">
        <v>92</v>
      </c>
      <c r="BJ16" t="s">
        <v>63</v>
      </c>
      <c r="BK16" t="s">
        <v>63</v>
      </c>
    </row>
    <row r="17" spans="1:63" x14ac:dyDescent="0.25">
      <c r="A17" t="s">
        <v>93</v>
      </c>
      <c r="B17">
        <v>350811</v>
      </c>
      <c r="C17">
        <v>201134236</v>
      </c>
      <c r="D17" t="s">
        <v>94</v>
      </c>
      <c r="E17" t="s">
        <v>61</v>
      </c>
      <c r="F17">
        <v>1</v>
      </c>
      <c r="G17">
        <v>4.5</v>
      </c>
      <c r="K17">
        <v>3</v>
      </c>
      <c r="L17">
        <v>1</v>
      </c>
      <c r="M17">
        <v>1</v>
      </c>
      <c r="N17">
        <f t="shared" si="0"/>
        <v>5</v>
      </c>
      <c r="O17">
        <v>3</v>
      </c>
      <c r="P17">
        <v>1</v>
      </c>
      <c r="Q17">
        <v>1</v>
      </c>
      <c r="R17">
        <f t="shared" si="1"/>
        <v>5</v>
      </c>
      <c r="AB17">
        <v>90</v>
      </c>
      <c r="AC17">
        <v>90</v>
      </c>
      <c r="AD17">
        <v>22.5</v>
      </c>
      <c r="AE17">
        <v>22.5</v>
      </c>
      <c r="AH17">
        <v>0</v>
      </c>
      <c r="AI17">
        <v>0</v>
      </c>
      <c r="AL17">
        <v>0</v>
      </c>
      <c r="AM17">
        <v>0</v>
      </c>
      <c r="AT17">
        <v>0</v>
      </c>
      <c r="AU17">
        <v>0</v>
      </c>
      <c r="BD17">
        <v>90</v>
      </c>
      <c r="BE17">
        <v>90</v>
      </c>
      <c r="BF17">
        <v>5.29</v>
      </c>
      <c r="BG17">
        <v>5.29</v>
      </c>
      <c r="BH17" t="s">
        <v>83</v>
      </c>
      <c r="BI17" t="s">
        <v>83</v>
      </c>
      <c r="BJ17" t="s">
        <v>63</v>
      </c>
      <c r="BK17" t="s">
        <v>63</v>
      </c>
    </row>
    <row r="18" spans="1:63" x14ac:dyDescent="0.25">
      <c r="A18" t="s">
        <v>95</v>
      </c>
      <c r="B18">
        <v>271758</v>
      </c>
      <c r="C18">
        <v>200866133</v>
      </c>
      <c r="D18" t="s">
        <v>96</v>
      </c>
      <c r="E18" t="s">
        <v>61</v>
      </c>
      <c r="F18">
        <v>1</v>
      </c>
      <c r="G18">
        <v>4.5</v>
      </c>
      <c r="K18">
        <v>3</v>
      </c>
      <c r="L18">
        <v>1</v>
      </c>
      <c r="M18">
        <v>1</v>
      </c>
      <c r="N18">
        <f t="shared" si="0"/>
        <v>5</v>
      </c>
      <c r="O18">
        <v>3</v>
      </c>
      <c r="P18">
        <v>1</v>
      </c>
      <c r="Q18">
        <v>1</v>
      </c>
      <c r="R18">
        <f t="shared" si="1"/>
        <v>5</v>
      </c>
      <c r="AB18">
        <v>90</v>
      </c>
      <c r="AC18">
        <v>90</v>
      </c>
      <c r="AD18">
        <v>22.5</v>
      </c>
      <c r="AE18">
        <v>22.5</v>
      </c>
      <c r="AH18">
        <v>0</v>
      </c>
      <c r="AI18">
        <v>0</v>
      </c>
      <c r="AL18">
        <v>0</v>
      </c>
      <c r="AM18">
        <v>0</v>
      </c>
      <c r="AT18">
        <v>0</v>
      </c>
      <c r="AU18">
        <v>0</v>
      </c>
      <c r="BD18">
        <v>90</v>
      </c>
      <c r="BE18">
        <v>90</v>
      </c>
      <c r="BF18">
        <v>5.29</v>
      </c>
      <c r="BG18">
        <v>5.29</v>
      </c>
      <c r="BH18" t="s">
        <v>83</v>
      </c>
      <c r="BI18" t="s">
        <v>83</v>
      </c>
      <c r="BJ18" t="s">
        <v>63</v>
      </c>
      <c r="BK18" t="s">
        <v>63</v>
      </c>
    </row>
    <row r="19" spans="1:63" x14ac:dyDescent="0.25">
      <c r="A19" t="s">
        <v>97</v>
      </c>
      <c r="B19">
        <v>349329</v>
      </c>
      <c r="C19">
        <v>201122675</v>
      </c>
      <c r="D19" t="s">
        <v>98</v>
      </c>
      <c r="E19" t="s">
        <v>61</v>
      </c>
      <c r="F19">
        <v>1</v>
      </c>
      <c r="G19">
        <v>5</v>
      </c>
      <c r="K19">
        <v>3</v>
      </c>
      <c r="L19">
        <v>1</v>
      </c>
      <c r="M19">
        <v>1</v>
      </c>
      <c r="N19">
        <f t="shared" si="0"/>
        <v>5</v>
      </c>
      <c r="O19">
        <v>3</v>
      </c>
      <c r="P19">
        <v>1</v>
      </c>
      <c r="R19">
        <f t="shared" si="1"/>
        <v>4</v>
      </c>
      <c r="AB19">
        <v>100</v>
      </c>
      <c r="AC19">
        <v>100</v>
      </c>
      <c r="AD19">
        <v>25</v>
      </c>
      <c r="AE19">
        <v>25</v>
      </c>
      <c r="AH19">
        <v>0</v>
      </c>
      <c r="AI19">
        <v>0</v>
      </c>
      <c r="AL19">
        <v>0</v>
      </c>
      <c r="AM19">
        <v>0</v>
      </c>
      <c r="AT19">
        <v>0</v>
      </c>
      <c r="AU19">
        <v>0</v>
      </c>
      <c r="BD19">
        <v>100</v>
      </c>
      <c r="BE19">
        <v>100</v>
      </c>
      <c r="BF19">
        <v>5.88</v>
      </c>
      <c r="BG19">
        <v>5.88</v>
      </c>
      <c r="BH19" t="s">
        <v>62</v>
      </c>
      <c r="BI19" t="s">
        <v>62</v>
      </c>
      <c r="BJ19" t="s">
        <v>63</v>
      </c>
      <c r="BK19" t="s">
        <v>63</v>
      </c>
    </row>
    <row r="20" spans="1:63" x14ac:dyDescent="0.25">
      <c r="A20" t="s">
        <v>99</v>
      </c>
      <c r="B20">
        <v>190053</v>
      </c>
      <c r="C20">
        <v>200744691</v>
      </c>
      <c r="D20" t="s">
        <v>100</v>
      </c>
      <c r="E20" t="s">
        <v>61</v>
      </c>
      <c r="F20">
        <v>1</v>
      </c>
      <c r="G20">
        <v>5</v>
      </c>
      <c r="K20">
        <v>3</v>
      </c>
      <c r="M20">
        <v>1</v>
      </c>
      <c r="N20">
        <f t="shared" si="0"/>
        <v>4</v>
      </c>
      <c r="O20">
        <v>3</v>
      </c>
      <c r="P20">
        <v>1</v>
      </c>
      <c r="Q20">
        <v>1</v>
      </c>
      <c r="R20">
        <f t="shared" si="1"/>
        <v>5</v>
      </c>
      <c r="AB20">
        <v>100</v>
      </c>
      <c r="AC20">
        <v>100</v>
      </c>
      <c r="AD20">
        <v>25</v>
      </c>
      <c r="AE20">
        <v>25</v>
      </c>
      <c r="AH20">
        <v>0</v>
      </c>
      <c r="AI20">
        <v>0</v>
      </c>
      <c r="AL20">
        <v>0</v>
      </c>
      <c r="AM20">
        <v>0</v>
      </c>
      <c r="AT20">
        <v>0</v>
      </c>
      <c r="AU20">
        <v>0</v>
      </c>
      <c r="BD20">
        <v>100</v>
      </c>
      <c r="BE20">
        <v>100</v>
      </c>
      <c r="BF20">
        <v>5.88</v>
      </c>
      <c r="BG20">
        <v>5.88</v>
      </c>
      <c r="BH20" t="s">
        <v>62</v>
      </c>
      <c r="BI20" t="s">
        <v>62</v>
      </c>
      <c r="BJ20" t="s">
        <v>63</v>
      </c>
      <c r="BK20" t="s">
        <v>63</v>
      </c>
    </row>
    <row r="21" spans="1:63" x14ac:dyDescent="0.25">
      <c r="A21" t="s">
        <v>101</v>
      </c>
      <c r="B21">
        <v>379681</v>
      </c>
      <c r="C21">
        <v>201213839</v>
      </c>
      <c r="D21" t="s">
        <v>102</v>
      </c>
      <c r="E21" t="s">
        <v>61</v>
      </c>
      <c r="F21">
        <v>1</v>
      </c>
      <c r="G21">
        <v>5</v>
      </c>
      <c r="K21">
        <v>3</v>
      </c>
      <c r="M21">
        <v>1</v>
      </c>
      <c r="N21">
        <f t="shared" si="0"/>
        <v>4</v>
      </c>
      <c r="O21">
        <v>3</v>
      </c>
      <c r="Q21">
        <v>1</v>
      </c>
      <c r="R21">
        <f t="shared" si="1"/>
        <v>4</v>
      </c>
      <c r="AB21">
        <v>100</v>
      </c>
      <c r="AC21">
        <v>100</v>
      </c>
      <c r="AD21">
        <v>25</v>
      </c>
      <c r="AE21">
        <v>25</v>
      </c>
      <c r="AH21">
        <v>0</v>
      </c>
      <c r="AI21">
        <v>0</v>
      </c>
      <c r="AL21">
        <v>0</v>
      </c>
      <c r="AM21">
        <v>0</v>
      </c>
      <c r="AT21">
        <v>0</v>
      </c>
      <c r="AU21">
        <v>0</v>
      </c>
      <c r="BD21">
        <v>100</v>
      </c>
      <c r="BE21">
        <v>100</v>
      </c>
      <c r="BF21">
        <v>5.88</v>
      </c>
      <c r="BG21">
        <v>5.88</v>
      </c>
      <c r="BH21" t="s">
        <v>62</v>
      </c>
      <c r="BI21" t="s">
        <v>62</v>
      </c>
      <c r="BJ21" t="s">
        <v>63</v>
      </c>
      <c r="BK21" t="s">
        <v>63</v>
      </c>
    </row>
    <row r="22" spans="1:63" x14ac:dyDescent="0.25">
      <c r="A22" t="s">
        <v>103</v>
      </c>
      <c r="B22">
        <v>308771</v>
      </c>
      <c r="C22">
        <v>200979919</v>
      </c>
      <c r="D22" t="s">
        <v>104</v>
      </c>
      <c r="E22" t="s">
        <v>61</v>
      </c>
      <c r="F22">
        <v>1</v>
      </c>
      <c r="G22">
        <v>4.5</v>
      </c>
      <c r="H22">
        <v>4</v>
      </c>
      <c r="K22">
        <v>3</v>
      </c>
      <c r="L22">
        <v>1</v>
      </c>
      <c r="M22">
        <v>1</v>
      </c>
      <c r="N22">
        <f>SUM(K22:M22)</f>
        <v>5</v>
      </c>
      <c r="O22">
        <v>3</v>
      </c>
      <c r="P22">
        <v>1</v>
      </c>
      <c r="Q22">
        <v>1</v>
      </c>
      <c r="R22">
        <f t="shared" si="1"/>
        <v>5</v>
      </c>
      <c r="AB22">
        <v>85</v>
      </c>
      <c r="AC22">
        <v>85</v>
      </c>
      <c r="AD22">
        <v>42.5</v>
      </c>
      <c r="AE22">
        <v>42.5</v>
      </c>
      <c r="AH22">
        <v>0</v>
      </c>
      <c r="AI22">
        <v>0</v>
      </c>
      <c r="AL22">
        <v>0</v>
      </c>
      <c r="AM22">
        <v>0</v>
      </c>
      <c r="AT22">
        <v>0</v>
      </c>
      <c r="AU22">
        <v>0</v>
      </c>
      <c r="BD22">
        <v>85</v>
      </c>
      <c r="BE22">
        <v>85</v>
      </c>
      <c r="BF22">
        <v>10</v>
      </c>
      <c r="BG22">
        <v>10</v>
      </c>
      <c r="BH22" t="s">
        <v>105</v>
      </c>
      <c r="BI22" t="s">
        <v>105</v>
      </c>
      <c r="BJ22" t="s">
        <v>63</v>
      </c>
      <c r="BK22" t="s">
        <v>63</v>
      </c>
    </row>
    <row r="23" spans="1:63" x14ac:dyDescent="0.25">
      <c r="A23" t="s">
        <v>106</v>
      </c>
      <c r="B23">
        <v>280749</v>
      </c>
      <c r="C23">
        <v>200871253</v>
      </c>
      <c r="D23" t="s">
        <v>107</v>
      </c>
      <c r="E23" t="s">
        <v>61</v>
      </c>
      <c r="F23">
        <v>1</v>
      </c>
      <c r="G23">
        <v>4.5</v>
      </c>
      <c r="K23">
        <v>2</v>
      </c>
      <c r="M23">
        <v>1</v>
      </c>
      <c r="N23">
        <f t="shared" si="0"/>
        <v>3</v>
      </c>
      <c r="O23">
        <v>3</v>
      </c>
      <c r="P23">
        <v>1</v>
      </c>
      <c r="R23">
        <f t="shared" si="1"/>
        <v>4</v>
      </c>
      <c r="AB23">
        <v>90</v>
      </c>
      <c r="AC23">
        <v>90</v>
      </c>
      <c r="AD23">
        <v>22.5</v>
      </c>
      <c r="AE23">
        <v>22.5</v>
      </c>
      <c r="AH23">
        <v>0</v>
      </c>
      <c r="AI23">
        <v>0</v>
      </c>
      <c r="AL23">
        <v>0</v>
      </c>
      <c r="AM23">
        <v>0</v>
      </c>
      <c r="AT23">
        <v>0</v>
      </c>
      <c r="AU23">
        <v>0</v>
      </c>
      <c r="BD23">
        <v>90</v>
      </c>
      <c r="BE23">
        <v>90</v>
      </c>
      <c r="BF23">
        <v>5.29</v>
      </c>
      <c r="BG23">
        <v>5.29</v>
      </c>
      <c r="BH23" t="s">
        <v>83</v>
      </c>
      <c r="BI23" t="s">
        <v>83</v>
      </c>
      <c r="BJ23" t="s">
        <v>63</v>
      </c>
      <c r="BK23" t="s">
        <v>63</v>
      </c>
    </row>
    <row r="24" spans="1:63" x14ac:dyDescent="0.25">
      <c r="A24" t="s">
        <v>108</v>
      </c>
      <c r="B24">
        <v>263941</v>
      </c>
      <c r="C24">
        <v>200900580</v>
      </c>
      <c r="D24" t="s">
        <v>109</v>
      </c>
      <c r="E24" t="s">
        <v>61</v>
      </c>
      <c r="F24">
        <v>1</v>
      </c>
      <c r="G24">
        <v>5</v>
      </c>
      <c r="K24">
        <v>3</v>
      </c>
      <c r="L24">
        <v>1</v>
      </c>
      <c r="M24">
        <v>1</v>
      </c>
      <c r="N24">
        <f t="shared" si="0"/>
        <v>5</v>
      </c>
      <c r="O24">
        <v>3</v>
      </c>
      <c r="P24">
        <v>1</v>
      </c>
      <c r="Q24">
        <v>1</v>
      </c>
      <c r="R24">
        <f t="shared" si="1"/>
        <v>5</v>
      </c>
      <c r="AB24">
        <v>100</v>
      </c>
      <c r="AC24">
        <v>100</v>
      </c>
      <c r="AD24">
        <v>25</v>
      </c>
      <c r="AE24">
        <v>25</v>
      </c>
      <c r="AH24">
        <v>0</v>
      </c>
      <c r="AI24">
        <v>0</v>
      </c>
      <c r="AL24">
        <v>0</v>
      </c>
      <c r="AM24">
        <v>0</v>
      </c>
      <c r="AT24">
        <v>0</v>
      </c>
      <c r="AU24">
        <v>0</v>
      </c>
      <c r="BD24">
        <v>100</v>
      </c>
      <c r="BE24">
        <v>100</v>
      </c>
      <c r="BF24">
        <v>5.88</v>
      </c>
      <c r="BG24">
        <v>5.88</v>
      </c>
      <c r="BH24" t="s">
        <v>62</v>
      </c>
      <c r="BI24" t="s">
        <v>62</v>
      </c>
      <c r="BJ24" t="s">
        <v>63</v>
      </c>
      <c r="BK24" t="s">
        <v>63</v>
      </c>
    </row>
    <row r="25" spans="1:63" x14ac:dyDescent="0.25">
      <c r="A25" t="s">
        <v>110</v>
      </c>
      <c r="B25">
        <v>303081</v>
      </c>
      <c r="C25">
        <v>201009717</v>
      </c>
      <c r="D25" t="s">
        <v>111</v>
      </c>
      <c r="E25" t="s">
        <v>61</v>
      </c>
      <c r="F25">
        <v>1</v>
      </c>
      <c r="G25">
        <v>4</v>
      </c>
      <c r="K25">
        <v>3</v>
      </c>
      <c r="L25">
        <v>1</v>
      </c>
      <c r="M25">
        <v>1</v>
      </c>
      <c r="N25">
        <f t="shared" si="0"/>
        <v>5</v>
      </c>
      <c r="O25">
        <v>3</v>
      </c>
      <c r="P25">
        <v>1</v>
      </c>
      <c r="Q25">
        <v>1</v>
      </c>
      <c r="R25">
        <f t="shared" si="1"/>
        <v>5</v>
      </c>
      <c r="AB25">
        <v>80</v>
      </c>
      <c r="AC25">
        <v>80</v>
      </c>
      <c r="AD25">
        <v>20</v>
      </c>
      <c r="AE25">
        <v>20</v>
      </c>
      <c r="AH25">
        <v>0</v>
      </c>
      <c r="AI25">
        <v>0</v>
      </c>
      <c r="AL25">
        <v>0</v>
      </c>
      <c r="AM25">
        <v>0</v>
      </c>
      <c r="AT25">
        <v>0</v>
      </c>
      <c r="AU25">
        <v>0</v>
      </c>
      <c r="BD25">
        <v>80</v>
      </c>
      <c r="BE25">
        <v>80</v>
      </c>
      <c r="BF25">
        <v>4.71</v>
      </c>
      <c r="BG25">
        <v>4.71</v>
      </c>
      <c r="BH25" t="s">
        <v>68</v>
      </c>
      <c r="BI25" t="s">
        <v>68</v>
      </c>
      <c r="BJ25" t="s">
        <v>63</v>
      </c>
      <c r="BK25" t="s">
        <v>63</v>
      </c>
    </row>
    <row r="26" spans="1:63" x14ac:dyDescent="0.25">
      <c r="A26" t="s">
        <v>112</v>
      </c>
      <c r="B26">
        <v>352140</v>
      </c>
      <c r="C26">
        <v>201105775</v>
      </c>
      <c r="D26" t="s">
        <v>113</v>
      </c>
      <c r="E26" t="s">
        <v>61</v>
      </c>
      <c r="F26">
        <v>1</v>
      </c>
      <c r="G26">
        <v>5</v>
      </c>
      <c r="K26">
        <v>3</v>
      </c>
      <c r="L26">
        <v>1</v>
      </c>
      <c r="M26">
        <v>1</v>
      </c>
      <c r="N26">
        <f t="shared" si="0"/>
        <v>5</v>
      </c>
      <c r="O26">
        <v>3</v>
      </c>
      <c r="P26">
        <v>1</v>
      </c>
      <c r="Q26">
        <v>1</v>
      </c>
      <c r="R26">
        <f t="shared" si="1"/>
        <v>5</v>
      </c>
      <c r="AB26">
        <v>100</v>
      </c>
      <c r="AC26">
        <v>100</v>
      </c>
      <c r="AD26">
        <v>25</v>
      </c>
      <c r="AE26">
        <v>25</v>
      </c>
      <c r="AH26">
        <v>0</v>
      </c>
      <c r="AI26">
        <v>0</v>
      </c>
      <c r="AL26">
        <v>0</v>
      </c>
      <c r="AM26">
        <v>0</v>
      </c>
      <c r="AT26">
        <v>0</v>
      </c>
      <c r="AU26">
        <v>0</v>
      </c>
      <c r="BD26">
        <v>100</v>
      </c>
      <c r="BE26">
        <v>100</v>
      </c>
      <c r="BF26">
        <v>5.88</v>
      </c>
      <c r="BG26">
        <v>5.88</v>
      </c>
      <c r="BH26" t="s">
        <v>62</v>
      </c>
      <c r="BI26" t="s">
        <v>62</v>
      </c>
      <c r="BJ26" t="s">
        <v>63</v>
      </c>
      <c r="BK26" t="s">
        <v>63</v>
      </c>
    </row>
    <row r="27" spans="1:63" x14ac:dyDescent="0.25">
      <c r="A27" t="s">
        <v>114</v>
      </c>
      <c r="B27">
        <v>170821</v>
      </c>
      <c r="C27">
        <v>200686601</v>
      </c>
      <c r="D27" t="s">
        <v>115</v>
      </c>
      <c r="E27" t="s">
        <v>61</v>
      </c>
      <c r="F27">
        <v>1</v>
      </c>
      <c r="G27">
        <v>5</v>
      </c>
      <c r="K27">
        <v>3</v>
      </c>
      <c r="L27">
        <v>1</v>
      </c>
      <c r="M27">
        <v>1</v>
      </c>
      <c r="N27">
        <f t="shared" si="0"/>
        <v>5</v>
      </c>
      <c r="O27">
        <v>3</v>
      </c>
      <c r="P27">
        <v>1</v>
      </c>
      <c r="Q27">
        <v>1</v>
      </c>
      <c r="R27">
        <f t="shared" si="1"/>
        <v>5</v>
      </c>
      <c r="AB27">
        <v>100</v>
      </c>
      <c r="AC27">
        <v>100</v>
      </c>
      <c r="AD27">
        <v>25</v>
      </c>
      <c r="AE27">
        <v>25</v>
      </c>
      <c r="AH27">
        <v>0</v>
      </c>
      <c r="AI27">
        <v>0</v>
      </c>
      <c r="AL27">
        <v>0</v>
      </c>
      <c r="AM27">
        <v>0</v>
      </c>
      <c r="AT27">
        <v>0</v>
      </c>
      <c r="AU27">
        <v>0</v>
      </c>
      <c r="BD27">
        <v>100</v>
      </c>
      <c r="BE27">
        <v>100</v>
      </c>
      <c r="BF27">
        <v>5.88</v>
      </c>
      <c r="BG27">
        <v>5.88</v>
      </c>
      <c r="BH27" t="s">
        <v>62</v>
      </c>
      <c r="BI27" t="s">
        <v>62</v>
      </c>
      <c r="BJ27" t="s">
        <v>63</v>
      </c>
      <c r="BK27" t="s">
        <v>63</v>
      </c>
    </row>
    <row r="28" spans="1:63" x14ac:dyDescent="0.25">
      <c r="A28" t="s">
        <v>116</v>
      </c>
      <c r="B28">
        <v>347521</v>
      </c>
      <c r="C28">
        <v>201139884</v>
      </c>
      <c r="D28" t="s">
        <v>117</v>
      </c>
      <c r="E28" t="s">
        <v>61</v>
      </c>
      <c r="F28">
        <v>1</v>
      </c>
      <c r="G28">
        <v>5</v>
      </c>
      <c r="K28">
        <v>3</v>
      </c>
      <c r="L28">
        <v>1</v>
      </c>
      <c r="M28">
        <v>1</v>
      </c>
      <c r="N28">
        <f t="shared" si="0"/>
        <v>5</v>
      </c>
      <c r="O28">
        <v>3</v>
      </c>
      <c r="P28">
        <v>1</v>
      </c>
      <c r="Q28">
        <v>1</v>
      </c>
      <c r="R28">
        <f t="shared" si="1"/>
        <v>5</v>
      </c>
      <c r="AB28">
        <v>100</v>
      </c>
      <c r="AC28">
        <v>100</v>
      </c>
      <c r="AD28">
        <v>25</v>
      </c>
      <c r="AE28">
        <v>25</v>
      </c>
      <c r="AH28">
        <v>0</v>
      </c>
      <c r="AI28">
        <v>0</v>
      </c>
      <c r="AL28">
        <v>0</v>
      </c>
      <c r="AM28">
        <v>0</v>
      </c>
      <c r="AT28">
        <v>0</v>
      </c>
      <c r="AU28">
        <v>0</v>
      </c>
      <c r="BD28">
        <v>100</v>
      </c>
      <c r="BE28">
        <v>100</v>
      </c>
      <c r="BF28">
        <v>5.88</v>
      </c>
      <c r="BG28">
        <v>5.88</v>
      </c>
      <c r="BH28" t="s">
        <v>62</v>
      </c>
      <c r="BI28" t="s">
        <v>62</v>
      </c>
      <c r="BJ28" t="s">
        <v>63</v>
      </c>
      <c r="BK28" t="s">
        <v>63</v>
      </c>
    </row>
    <row r="29" spans="1:63" x14ac:dyDescent="0.25">
      <c r="A29" t="s">
        <v>118</v>
      </c>
      <c r="B29">
        <v>352006</v>
      </c>
      <c r="C29">
        <v>201128147</v>
      </c>
      <c r="D29" t="s">
        <v>119</v>
      </c>
      <c r="E29" t="s">
        <v>61</v>
      </c>
      <c r="F29">
        <v>1</v>
      </c>
      <c r="G29">
        <v>4</v>
      </c>
      <c r="K29">
        <v>3</v>
      </c>
      <c r="L29">
        <v>1</v>
      </c>
      <c r="M29">
        <v>1</v>
      </c>
      <c r="N29">
        <f t="shared" si="0"/>
        <v>5</v>
      </c>
      <c r="O29">
        <v>3</v>
      </c>
      <c r="P29">
        <v>1</v>
      </c>
      <c r="Q29">
        <v>1</v>
      </c>
      <c r="R29">
        <f t="shared" si="1"/>
        <v>5</v>
      </c>
      <c r="AB29">
        <v>80</v>
      </c>
      <c r="AC29">
        <v>80</v>
      </c>
      <c r="AD29">
        <v>20</v>
      </c>
      <c r="AE29">
        <v>20</v>
      </c>
      <c r="AH29">
        <v>0</v>
      </c>
      <c r="AI29">
        <v>0</v>
      </c>
      <c r="AL29">
        <v>0</v>
      </c>
      <c r="AM29">
        <v>0</v>
      </c>
      <c r="AT29">
        <v>0</v>
      </c>
      <c r="AU29">
        <v>0</v>
      </c>
      <c r="BD29">
        <v>80</v>
      </c>
      <c r="BE29">
        <v>80</v>
      </c>
      <c r="BF29">
        <v>4.71</v>
      </c>
      <c r="BG29">
        <v>4.71</v>
      </c>
      <c r="BH29" t="s">
        <v>68</v>
      </c>
      <c r="BI29" t="s">
        <v>68</v>
      </c>
      <c r="BJ29" t="s">
        <v>63</v>
      </c>
      <c r="BK29" t="s">
        <v>63</v>
      </c>
    </row>
    <row r="30" spans="1:63" x14ac:dyDescent="0.25">
      <c r="A30" s="2" t="s">
        <v>120</v>
      </c>
      <c r="B30">
        <v>281331</v>
      </c>
      <c r="C30">
        <v>200877471</v>
      </c>
      <c r="D30" t="s">
        <v>121</v>
      </c>
      <c r="E30" t="s">
        <v>61</v>
      </c>
      <c r="F30">
        <v>1</v>
      </c>
      <c r="G30">
        <v>5</v>
      </c>
      <c r="K30">
        <v>3</v>
      </c>
      <c r="L30">
        <v>1</v>
      </c>
      <c r="N30">
        <f t="shared" si="0"/>
        <v>4</v>
      </c>
      <c r="O30">
        <v>3</v>
      </c>
      <c r="P30">
        <v>1</v>
      </c>
      <c r="Q30">
        <v>1</v>
      </c>
      <c r="R30">
        <f t="shared" si="1"/>
        <v>5</v>
      </c>
      <c r="AB30">
        <v>100</v>
      </c>
      <c r="AC30">
        <v>100</v>
      </c>
      <c r="AD30">
        <v>25</v>
      </c>
      <c r="AE30">
        <v>25</v>
      </c>
      <c r="AH30">
        <v>0</v>
      </c>
      <c r="AI30">
        <v>0</v>
      </c>
      <c r="AL30">
        <v>0</v>
      </c>
      <c r="AM30">
        <v>0</v>
      </c>
      <c r="AT30">
        <v>0</v>
      </c>
      <c r="AU30">
        <v>0</v>
      </c>
      <c r="BD30">
        <v>100</v>
      </c>
      <c r="BE30">
        <v>100</v>
      </c>
      <c r="BF30">
        <v>5.88</v>
      </c>
      <c r="BG30">
        <v>5.88</v>
      </c>
      <c r="BH30" t="s">
        <v>62</v>
      </c>
      <c r="BI30" t="s">
        <v>62</v>
      </c>
      <c r="BJ30" t="s">
        <v>63</v>
      </c>
      <c r="BK30" t="s">
        <v>63</v>
      </c>
    </row>
    <row r="31" spans="1:63" x14ac:dyDescent="0.25">
      <c r="A31" t="s">
        <v>122</v>
      </c>
      <c r="B31">
        <v>320613</v>
      </c>
      <c r="C31">
        <v>201006559</v>
      </c>
      <c r="D31" t="s">
        <v>123</v>
      </c>
      <c r="E31" t="s">
        <v>61</v>
      </c>
      <c r="F31">
        <v>1</v>
      </c>
      <c r="G31">
        <v>5</v>
      </c>
      <c r="K31">
        <v>3</v>
      </c>
      <c r="L31">
        <v>1</v>
      </c>
      <c r="M31">
        <v>1</v>
      </c>
      <c r="N31">
        <f t="shared" si="0"/>
        <v>5</v>
      </c>
      <c r="R31">
        <f t="shared" si="1"/>
        <v>0</v>
      </c>
      <c r="AB31">
        <v>100</v>
      </c>
      <c r="AC31">
        <v>100</v>
      </c>
      <c r="AD31">
        <v>25</v>
      </c>
      <c r="AE31">
        <v>25</v>
      </c>
      <c r="AH31">
        <v>0</v>
      </c>
      <c r="AI31">
        <v>0</v>
      </c>
      <c r="AL31">
        <v>0</v>
      </c>
      <c r="AM31">
        <v>0</v>
      </c>
      <c r="AT31">
        <v>0</v>
      </c>
      <c r="AU31">
        <v>0</v>
      </c>
      <c r="BD31">
        <v>100</v>
      </c>
      <c r="BE31">
        <v>100</v>
      </c>
      <c r="BF31">
        <v>5.88</v>
      </c>
      <c r="BG31">
        <v>5.88</v>
      </c>
      <c r="BH31" t="s">
        <v>62</v>
      </c>
      <c r="BI31" t="s">
        <v>62</v>
      </c>
      <c r="BJ31" t="s">
        <v>63</v>
      </c>
      <c r="BK31" t="s">
        <v>63</v>
      </c>
    </row>
    <row r="32" spans="1:63" x14ac:dyDescent="0.25">
      <c r="A32" t="s">
        <v>124</v>
      </c>
      <c r="B32">
        <v>271656</v>
      </c>
      <c r="C32">
        <v>200885753</v>
      </c>
      <c r="D32" t="s">
        <v>125</v>
      </c>
      <c r="E32" t="s">
        <v>61</v>
      </c>
      <c r="F32">
        <v>1</v>
      </c>
      <c r="G32">
        <v>5</v>
      </c>
      <c r="K32">
        <v>3</v>
      </c>
      <c r="L32">
        <v>1</v>
      </c>
      <c r="M32">
        <v>1</v>
      </c>
      <c r="N32">
        <f t="shared" si="0"/>
        <v>5</v>
      </c>
      <c r="O32">
        <v>3</v>
      </c>
      <c r="P32">
        <v>1</v>
      </c>
      <c r="Q32">
        <v>1</v>
      </c>
      <c r="R32">
        <f t="shared" si="1"/>
        <v>5</v>
      </c>
      <c r="AB32">
        <v>100</v>
      </c>
      <c r="AC32">
        <v>100</v>
      </c>
      <c r="AD32">
        <v>25</v>
      </c>
      <c r="AE32">
        <v>25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BD32">
        <v>100</v>
      </c>
      <c r="BE32">
        <v>100</v>
      </c>
      <c r="BF32">
        <v>5.88</v>
      </c>
      <c r="BG32">
        <v>5.88</v>
      </c>
      <c r="BH32" t="s">
        <v>62</v>
      </c>
      <c r="BI32" t="s">
        <v>62</v>
      </c>
      <c r="BJ32" t="s">
        <v>63</v>
      </c>
      <c r="BK32" t="s">
        <v>63</v>
      </c>
    </row>
    <row r="33" spans="1:63" x14ac:dyDescent="0.25">
      <c r="A33" t="s">
        <v>126</v>
      </c>
      <c r="B33">
        <v>260380</v>
      </c>
      <c r="C33">
        <v>200954574</v>
      </c>
      <c r="D33" t="s">
        <v>127</v>
      </c>
      <c r="E33" t="s">
        <v>61</v>
      </c>
      <c r="F33">
        <v>1</v>
      </c>
      <c r="G33">
        <v>4</v>
      </c>
      <c r="K33">
        <v>3</v>
      </c>
      <c r="L33">
        <v>1</v>
      </c>
      <c r="M33">
        <v>1</v>
      </c>
      <c r="N33">
        <f t="shared" si="0"/>
        <v>5</v>
      </c>
      <c r="O33">
        <v>3</v>
      </c>
      <c r="P33">
        <v>1</v>
      </c>
      <c r="Q33">
        <v>1</v>
      </c>
      <c r="R33">
        <f t="shared" si="1"/>
        <v>5</v>
      </c>
      <c r="AB33">
        <v>80</v>
      </c>
      <c r="AC33">
        <v>80</v>
      </c>
      <c r="AD33">
        <v>20</v>
      </c>
      <c r="AE33">
        <v>20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BD33">
        <v>80</v>
      </c>
      <c r="BE33">
        <v>80</v>
      </c>
      <c r="BF33">
        <v>4.71</v>
      </c>
      <c r="BG33">
        <v>4.71</v>
      </c>
      <c r="BH33" t="s">
        <v>68</v>
      </c>
      <c r="BI33" t="s">
        <v>68</v>
      </c>
      <c r="BJ33" t="s">
        <v>63</v>
      </c>
      <c r="BK33" t="s">
        <v>63</v>
      </c>
    </row>
    <row r="34" spans="1:63" x14ac:dyDescent="0.25">
      <c r="A34" t="s">
        <v>128</v>
      </c>
      <c r="B34">
        <v>374827</v>
      </c>
      <c r="C34">
        <v>201209249</v>
      </c>
      <c r="D34" t="s">
        <v>129</v>
      </c>
      <c r="E34" t="s">
        <v>61</v>
      </c>
      <c r="F34">
        <v>1</v>
      </c>
      <c r="G34">
        <v>4.5</v>
      </c>
      <c r="K34">
        <v>3</v>
      </c>
      <c r="M34">
        <v>1</v>
      </c>
      <c r="N34">
        <f t="shared" si="0"/>
        <v>4</v>
      </c>
      <c r="O34">
        <v>3</v>
      </c>
      <c r="P34">
        <v>1</v>
      </c>
      <c r="Q34">
        <v>1</v>
      </c>
      <c r="R34">
        <f t="shared" si="1"/>
        <v>5</v>
      </c>
      <c r="AB34">
        <v>90</v>
      </c>
      <c r="AC34">
        <v>90</v>
      </c>
      <c r="AD34">
        <v>22.5</v>
      </c>
      <c r="AE34">
        <v>22.5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BD34">
        <v>90</v>
      </c>
      <c r="BE34">
        <v>90</v>
      </c>
      <c r="BF34">
        <v>5.29</v>
      </c>
      <c r="BG34">
        <v>5.29</v>
      </c>
      <c r="BH34" t="s">
        <v>83</v>
      </c>
      <c r="BI34" t="s">
        <v>83</v>
      </c>
      <c r="BJ34" t="s">
        <v>63</v>
      </c>
      <c r="BK34" t="s">
        <v>63</v>
      </c>
    </row>
    <row r="35" spans="1:63" x14ac:dyDescent="0.25">
      <c r="A35" t="s">
        <v>130</v>
      </c>
      <c r="B35">
        <v>375675</v>
      </c>
      <c r="C35">
        <v>201198304</v>
      </c>
      <c r="D35" t="s">
        <v>131</v>
      </c>
      <c r="E35" t="s">
        <v>61</v>
      </c>
      <c r="F35">
        <v>1</v>
      </c>
      <c r="G35">
        <v>5</v>
      </c>
      <c r="K35">
        <v>3</v>
      </c>
      <c r="N35">
        <f t="shared" si="0"/>
        <v>3</v>
      </c>
      <c r="O35">
        <v>3</v>
      </c>
      <c r="P35">
        <v>1</v>
      </c>
      <c r="Q35">
        <v>1</v>
      </c>
      <c r="R35">
        <f t="shared" si="1"/>
        <v>5</v>
      </c>
      <c r="AB35">
        <v>100</v>
      </c>
      <c r="AC35">
        <v>100</v>
      </c>
      <c r="AD35">
        <v>25</v>
      </c>
      <c r="AE35">
        <v>25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BD35">
        <v>100</v>
      </c>
      <c r="BE35">
        <v>100</v>
      </c>
      <c r="BF35">
        <v>5.88</v>
      </c>
      <c r="BG35">
        <v>5.88</v>
      </c>
      <c r="BH35" t="s">
        <v>62</v>
      </c>
      <c r="BI35" t="s">
        <v>62</v>
      </c>
      <c r="BJ35" t="s">
        <v>63</v>
      </c>
      <c r="BK35" t="s">
        <v>63</v>
      </c>
    </row>
    <row r="36" spans="1:63" x14ac:dyDescent="0.25">
      <c r="A36" t="s">
        <v>132</v>
      </c>
      <c r="B36">
        <v>263547</v>
      </c>
      <c r="C36">
        <v>200897253</v>
      </c>
      <c r="D36" t="s">
        <v>133</v>
      </c>
      <c r="E36" t="s">
        <v>61</v>
      </c>
      <c r="F36">
        <v>1</v>
      </c>
      <c r="K36">
        <v>3</v>
      </c>
      <c r="L36">
        <v>1</v>
      </c>
      <c r="M36">
        <v>1</v>
      </c>
      <c r="N36">
        <f t="shared" si="0"/>
        <v>5</v>
      </c>
      <c r="O36">
        <v>3</v>
      </c>
      <c r="R36">
        <f t="shared" si="1"/>
        <v>3</v>
      </c>
      <c r="AD36">
        <v>0</v>
      </c>
      <c r="AE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BF36">
        <v>0</v>
      </c>
      <c r="BG36">
        <v>0</v>
      </c>
      <c r="BJ36" t="s">
        <v>63</v>
      </c>
      <c r="BK36" t="s">
        <v>63</v>
      </c>
    </row>
    <row r="37" spans="1:63" x14ac:dyDescent="0.25">
      <c r="A37" t="s">
        <v>134</v>
      </c>
      <c r="B37">
        <v>318945</v>
      </c>
      <c r="C37">
        <v>201016333</v>
      </c>
      <c r="D37" t="s">
        <v>135</v>
      </c>
      <c r="E37" t="s">
        <v>61</v>
      </c>
      <c r="F37">
        <v>1</v>
      </c>
      <c r="G37">
        <v>4</v>
      </c>
      <c r="K37">
        <v>3</v>
      </c>
      <c r="L37">
        <v>1</v>
      </c>
      <c r="M37">
        <v>1</v>
      </c>
      <c r="N37">
        <f t="shared" si="0"/>
        <v>5</v>
      </c>
      <c r="O37">
        <v>3</v>
      </c>
      <c r="Q37">
        <v>1</v>
      </c>
      <c r="R37">
        <f t="shared" si="1"/>
        <v>4</v>
      </c>
      <c r="AB37">
        <v>80</v>
      </c>
      <c r="AC37">
        <v>80</v>
      </c>
      <c r="AD37">
        <v>20</v>
      </c>
      <c r="AE37">
        <v>20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BD37">
        <v>80</v>
      </c>
      <c r="BE37">
        <v>80</v>
      </c>
      <c r="BF37">
        <v>4.71</v>
      </c>
      <c r="BG37">
        <v>4.71</v>
      </c>
      <c r="BH37" t="s">
        <v>68</v>
      </c>
      <c r="BI37" t="s">
        <v>68</v>
      </c>
      <c r="BJ37" t="s">
        <v>63</v>
      </c>
      <c r="BK37" t="s">
        <v>63</v>
      </c>
    </row>
    <row r="38" spans="1:63" x14ac:dyDescent="0.25">
      <c r="A38" t="s">
        <v>136</v>
      </c>
      <c r="B38">
        <v>155615</v>
      </c>
      <c r="C38">
        <v>200644947</v>
      </c>
      <c r="D38" t="s">
        <v>137</v>
      </c>
      <c r="E38" t="s">
        <v>61</v>
      </c>
      <c r="F38">
        <v>1</v>
      </c>
      <c r="G38">
        <v>3.5</v>
      </c>
      <c r="K38">
        <v>3</v>
      </c>
      <c r="M38">
        <v>1</v>
      </c>
      <c r="N38">
        <f t="shared" si="0"/>
        <v>4</v>
      </c>
      <c r="O38">
        <v>3</v>
      </c>
      <c r="Q38">
        <v>1</v>
      </c>
      <c r="R38">
        <f t="shared" si="1"/>
        <v>4</v>
      </c>
      <c r="AB38">
        <v>70</v>
      </c>
      <c r="AC38">
        <v>70</v>
      </c>
      <c r="AD38">
        <v>17.5</v>
      </c>
      <c r="AE38">
        <v>17.5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BD38">
        <v>70</v>
      </c>
      <c r="BE38">
        <v>70</v>
      </c>
      <c r="BF38">
        <v>4.12</v>
      </c>
      <c r="BG38">
        <v>4.12</v>
      </c>
      <c r="BH38" t="s">
        <v>138</v>
      </c>
      <c r="BI38" t="s">
        <v>138</v>
      </c>
      <c r="BJ38" t="s">
        <v>63</v>
      </c>
      <c r="BK38" t="s">
        <v>63</v>
      </c>
    </row>
    <row r="39" spans="1:63" x14ac:dyDescent="0.25">
      <c r="A39" t="s">
        <v>139</v>
      </c>
      <c r="B39">
        <v>314728</v>
      </c>
      <c r="C39">
        <v>201028961</v>
      </c>
      <c r="D39" t="s">
        <v>140</v>
      </c>
      <c r="E39" t="s">
        <v>61</v>
      </c>
      <c r="F39">
        <v>1</v>
      </c>
      <c r="G39">
        <v>5</v>
      </c>
      <c r="K39">
        <v>3</v>
      </c>
      <c r="L39">
        <v>1</v>
      </c>
      <c r="M39">
        <v>1</v>
      </c>
      <c r="N39">
        <f t="shared" si="0"/>
        <v>5</v>
      </c>
      <c r="O39">
        <v>3</v>
      </c>
      <c r="P39">
        <v>1</v>
      </c>
      <c r="Q39">
        <v>1</v>
      </c>
      <c r="R39">
        <f t="shared" si="1"/>
        <v>5</v>
      </c>
      <c r="AB39">
        <v>100</v>
      </c>
      <c r="AC39">
        <v>100</v>
      </c>
      <c r="AD39">
        <v>25</v>
      </c>
      <c r="AE39">
        <v>25</v>
      </c>
      <c r="AH39">
        <v>0</v>
      </c>
      <c r="AI39">
        <v>0</v>
      </c>
      <c r="AL39">
        <v>0</v>
      </c>
      <c r="AM39">
        <v>0</v>
      </c>
      <c r="AT39">
        <v>0</v>
      </c>
      <c r="AU39">
        <v>0</v>
      </c>
      <c r="BD39">
        <v>100</v>
      </c>
      <c r="BE39">
        <v>100</v>
      </c>
      <c r="BF39">
        <v>5.88</v>
      </c>
      <c r="BG39">
        <v>5.88</v>
      </c>
      <c r="BH39" t="s">
        <v>62</v>
      </c>
      <c r="BI39" t="s">
        <v>62</v>
      </c>
      <c r="BJ39" t="s">
        <v>63</v>
      </c>
      <c r="BK39" t="s">
        <v>63</v>
      </c>
    </row>
    <row r="40" spans="1:63" x14ac:dyDescent="0.25">
      <c r="A40" t="s">
        <v>141</v>
      </c>
      <c r="B40">
        <v>373492</v>
      </c>
      <c r="C40">
        <v>201201691</v>
      </c>
      <c r="D40" t="s">
        <v>142</v>
      </c>
      <c r="E40" t="s">
        <v>61</v>
      </c>
      <c r="F40">
        <v>1</v>
      </c>
      <c r="G40">
        <v>5</v>
      </c>
      <c r="K40">
        <v>3</v>
      </c>
      <c r="L40">
        <v>1</v>
      </c>
      <c r="M40">
        <v>1</v>
      </c>
      <c r="N40">
        <f t="shared" si="0"/>
        <v>5</v>
      </c>
      <c r="O40">
        <v>3</v>
      </c>
      <c r="Q40">
        <v>1</v>
      </c>
      <c r="R40">
        <f t="shared" si="1"/>
        <v>4</v>
      </c>
      <c r="AB40">
        <v>100</v>
      </c>
      <c r="AC40">
        <v>100</v>
      </c>
      <c r="AD40">
        <v>25</v>
      </c>
      <c r="AE40">
        <v>25</v>
      </c>
      <c r="AH40">
        <v>0</v>
      </c>
      <c r="AI40">
        <v>0</v>
      </c>
      <c r="AL40">
        <v>0</v>
      </c>
      <c r="AM40">
        <v>0</v>
      </c>
      <c r="AT40">
        <v>0</v>
      </c>
      <c r="AU40">
        <v>0</v>
      </c>
      <c r="BD40">
        <v>100</v>
      </c>
      <c r="BE40">
        <v>100</v>
      </c>
      <c r="BF40">
        <v>5.88</v>
      </c>
      <c r="BG40">
        <v>5.88</v>
      </c>
      <c r="BH40" t="s">
        <v>62</v>
      </c>
      <c r="BI40" t="s">
        <v>62</v>
      </c>
      <c r="BJ40" t="s">
        <v>63</v>
      </c>
      <c r="BK40" t="s">
        <v>63</v>
      </c>
    </row>
    <row r="41" spans="1:63" x14ac:dyDescent="0.25">
      <c r="A41" t="s">
        <v>143</v>
      </c>
      <c r="B41">
        <v>324136</v>
      </c>
      <c r="C41">
        <v>201014929</v>
      </c>
      <c r="D41" t="s">
        <v>144</v>
      </c>
      <c r="E41" t="s">
        <v>61</v>
      </c>
      <c r="F41">
        <v>1</v>
      </c>
      <c r="G41">
        <v>3.5</v>
      </c>
      <c r="K41">
        <v>2</v>
      </c>
      <c r="M41">
        <v>1</v>
      </c>
      <c r="N41">
        <f t="shared" si="0"/>
        <v>3</v>
      </c>
      <c r="O41">
        <v>3</v>
      </c>
      <c r="R41">
        <f t="shared" si="1"/>
        <v>3</v>
      </c>
      <c r="AB41">
        <v>70</v>
      </c>
      <c r="AC41">
        <v>70</v>
      </c>
      <c r="AD41">
        <v>17.5</v>
      </c>
      <c r="AE41">
        <v>17.5</v>
      </c>
      <c r="AH41">
        <v>0</v>
      </c>
      <c r="AI41">
        <v>0</v>
      </c>
      <c r="AL41">
        <v>0</v>
      </c>
      <c r="AM41">
        <v>0</v>
      </c>
      <c r="AT41">
        <v>0</v>
      </c>
      <c r="AU41">
        <v>0</v>
      </c>
      <c r="BD41">
        <v>70</v>
      </c>
      <c r="BE41">
        <v>70</v>
      </c>
      <c r="BF41">
        <v>4.12</v>
      </c>
      <c r="BG41">
        <v>4.12</v>
      </c>
      <c r="BH41" t="s">
        <v>138</v>
      </c>
      <c r="BI41" t="s">
        <v>138</v>
      </c>
      <c r="BJ41" t="s">
        <v>63</v>
      </c>
      <c r="BK41" t="s">
        <v>63</v>
      </c>
    </row>
    <row r="42" spans="1:63" x14ac:dyDescent="0.25">
      <c r="A42" t="s">
        <v>145</v>
      </c>
      <c r="B42">
        <v>223450</v>
      </c>
      <c r="C42">
        <v>200818201</v>
      </c>
      <c r="D42" t="s">
        <v>146</v>
      </c>
      <c r="E42" t="s">
        <v>61</v>
      </c>
      <c r="F42">
        <v>1</v>
      </c>
      <c r="K42">
        <v>3</v>
      </c>
      <c r="L42">
        <v>1</v>
      </c>
      <c r="M42">
        <v>1</v>
      </c>
      <c r="N42">
        <f t="shared" si="0"/>
        <v>5</v>
      </c>
      <c r="O42">
        <v>3</v>
      </c>
      <c r="P42">
        <v>1</v>
      </c>
      <c r="Q42">
        <v>1</v>
      </c>
      <c r="R42">
        <f t="shared" si="1"/>
        <v>5</v>
      </c>
      <c r="AD42">
        <v>0</v>
      </c>
      <c r="AE42">
        <v>0</v>
      </c>
      <c r="AH42">
        <v>0</v>
      </c>
      <c r="AI42">
        <v>0</v>
      </c>
      <c r="AL42">
        <v>0</v>
      </c>
      <c r="AM42">
        <v>0</v>
      </c>
      <c r="AT42">
        <v>0</v>
      </c>
      <c r="AU42">
        <v>0</v>
      </c>
      <c r="BF42">
        <v>0</v>
      </c>
      <c r="BG42">
        <v>0</v>
      </c>
      <c r="BJ42" t="s">
        <v>63</v>
      </c>
      <c r="BK42" t="s">
        <v>63</v>
      </c>
    </row>
    <row r="43" spans="1:63" x14ac:dyDescent="0.25">
      <c r="A43" t="s">
        <v>147</v>
      </c>
      <c r="B43">
        <v>279845</v>
      </c>
      <c r="C43">
        <v>200892142</v>
      </c>
      <c r="D43" t="s">
        <v>148</v>
      </c>
      <c r="E43" t="s">
        <v>61</v>
      </c>
      <c r="F43">
        <v>1</v>
      </c>
      <c r="G43">
        <v>4</v>
      </c>
      <c r="K43">
        <v>3</v>
      </c>
      <c r="N43">
        <f t="shared" si="0"/>
        <v>3</v>
      </c>
      <c r="O43">
        <v>3</v>
      </c>
      <c r="R43">
        <f t="shared" si="1"/>
        <v>3</v>
      </c>
      <c r="AB43">
        <v>80</v>
      </c>
      <c r="AC43">
        <v>80</v>
      </c>
      <c r="AD43">
        <v>20</v>
      </c>
      <c r="AE43">
        <v>20</v>
      </c>
      <c r="AH43">
        <v>0</v>
      </c>
      <c r="AI43">
        <v>0</v>
      </c>
      <c r="AL43">
        <v>0</v>
      </c>
      <c r="AM43">
        <v>0</v>
      </c>
      <c r="AT43">
        <v>0</v>
      </c>
      <c r="AU43">
        <v>0</v>
      </c>
      <c r="BD43">
        <v>80</v>
      </c>
      <c r="BE43">
        <v>80</v>
      </c>
      <c r="BF43">
        <v>4.71</v>
      </c>
      <c r="BG43">
        <v>4.71</v>
      </c>
      <c r="BH43" t="s">
        <v>68</v>
      </c>
      <c r="BI43" t="s">
        <v>68</v>
      </c>
      <c r="BJ43" t="s">
        <v>63</v>
      </c>
      <c r="BK43" t="s">
        <v>63</v>
      </c>
    </row>
    <row r="44" spans="1:63" x14ac:dyDescent="0.25">
      <c r="A44" t="s">
        <v>149</v>
      </c>
      <c r="B44">
        <v>275244</v>
      </c>
      <c r="C44">
        <v>200913537</v>
      </c>
      <c r="D44" t="s">
        <v>150</v>
      </c>
      <c r="E44" t="s">
        <v>61</v>
      </c>
      <c r="F44">
        <v>1</v>
      </c>
      <c r="G44">
        <v>5</v>
      </c>
      <c r="H44">
        <v>4.5</v>
      </c>
      <c r="K44">
        <v>3</v>
      </c>
      <c r="L44">
        <v>1</v>
      </c>
      <c r="M44">
        <v>1</v>
      </c>
      <c r="N44">
        <f t="shared" si="0"/>
        <v>5</v>
      </c>
      <c r="O44">
        <v>3</v>
      </c>
      <c r="P44">
        <v>1</v>
      </c>
      <c r="R44">
        <f t="shared" si="1"/>
        <v>4</v>
      </c>
      <c r="AB44">
        <v>95</v>
      </c>
      <c r="AC44">
        <v>95</v>
      </c>
      <c r="AD44">
        <v>47.5</v>
      </c>
      <c r="AE44">
        <v>47.5</v>
      </c>
      <c r="AH44">
        <v>0</v>
      </c>
      <c r="AI44">
        <v>0</v>
      </c>
      <c r="AL44">
        <v>0</v>
      </c>
      <c r="AM44">
        <v>0</v>
      </c>
      <c r="AT44">
        <v>0</v>
      </c>
      <c r="AU44">
        <v>0</v>
      </c>
      <c r="BD44">
        <v>95</v>
      </c>
      <c r="BE44">
        <v>95</v>
      </c>
      <c r="BF44">
        <v>11.18</v>
      </c>
      <c r="BG44">
        <v>11.18</v>
      </c>
      <c r="BH44" t="s">
        <v>62</v>
      </c>
      <c r="BI44" t="s">
        <v>62</v>
      </c>
      <c r="BJ44" t="s">
        <v>63</v>
      </c>
      <c r="BK44" t="s">
        <v>63</v>
      </c>
    </row>
    <row r="45" spans="1:63" x14ac:dyDescent="0.25">
      <c r="A45" t="s">
        <v>151</v>
      </c>
      <c r="B45">
        <v>305777</v>
      </c>
      <c r="C45">
        <v>200991312</v>
      </c>
      <c r="D45" t="s">
        <v>152</v>
      </c>
      <c r="E45" t="s">
        <v>61</v>
      </c>
      <c r="F45">
        <v>1</v>
      </c>
      <c r="G45">
        <v>4.5</v>
      </c>
      <c r="N45">
        <f t="shared" si="0"/>
        <v>0</v>
      </c>
      <c r="O45">
        <v>3</v>
      </c>
      <c r="Q45">
        <v>1</v>
      </c>
      <c r="R45">
        <f t="shared" si="1"/>
        <v>4</v>
      </c>
      <c r="AB45">
        <v>90</v>
      </c>
      <c r="AC45">
        <v>90</v>
      </c>
      <c r="AD45">
        <v>22.5</v>
      </c>
      <c r="AE45">
        <v>22.5</v>
      </c>
      <c r="AH45">
        <v>0</v>
      </c>
      <c r="AI45">
        <v>0</v>
      </c>
      <c r="AL45">
        <v>0</v>
      </c>
      <c r="AM45">
        <v>0</v>
      </c>
      <c r="AT45">
        <v>0</v>
      </c>
      <c r="AU45">
        <v>0</v>
      </c>
      <c r="BD45">
        <v>90</v>
      </c>
      <c r="BE45">
        <v>90</v>
      </c>
      <c r="BF45">
        <v>5.29</v>
      </c>
      <c r="BG45">
        <v>5.29</v>
      </c>
      <c r="BH45" t="s">
        <v>83</v>
      </c>
      <c r="BI45" t="s">
        <v>83</v>
      </c>
      <c r="BJ45" t="s">
        <v>63</v>
      </c>
      <c r="BK45" t="s">
        <v>63</v>
      </c>
    </row>
    <row r="46" spans="1:63" x14ac:dyDescent="0.25">
      <c r="A46" t="s">
        <v>153</v>
      </c>
      <c r="B46">
        <v>317026</v>
      </c>
      <c r="C46">
        <v>201046473</v>
      </c>
      <c r="D46" t="s">
        <v>154</v>
      </c>
      <c r="E46" t="s">
        <v>61</v>
      </c>
      <c r="F46">
        <v>1</v>
      </c>
      <c r="G46">
        <v>4.5</v>
      </c>
      <c r="K46">
        <v>3</v>
      </c>
      <c r="L46">
        <v>1</v>
      </c>
      <c r="M46">
        <v>1</v>
      </c>
      <c r="N46">
        <f t="shared" si="0"/>
        <v>5</v>
      </c>
      <c r="R46">
        <f t="shared" si="1"/>
        <v>0</v>
      </c>
      <c r="AB46">
        <v>90</v>
      </c>
      <c r="AC46">
        <v>90</v>
      </c>
      <c r="AD46">
        <v>22.5</v>
      </c>
      <c r="AE46">
        <v>22.5</v>
      </c>
      <c r="AH46">
        <v>0</v>
      </c>
      <c r="AI46">
        <v>0</v>
      </c>
      <c r="AL46">
        <v>0</v>
      </c>
      <c r="AM46">
        <v>0</v>
      </c>
      <c r="AT46">
        <v>0</v>
      </c>
      <c r="AU46">
        <v>0</v>
      </c>
      <c r="BD46">
        <v>90</v>
      </c>
      <c r="BE46">
        <v>90</v>
      </c>
      <c r="BF46">
        <v>5.29</v>
      </c>
      <c r="BG46">
        <v>5.29</v>
      </c>
      <c r="BH46" t="s">
        <v>83</v>
      </c>
      <c r="BI46" t="s">
        <v>83</v>
      </c>
      <c r="BJ46" t="s">
        <v>63</v>
      </c>
      <c r="BK46" t="s">
        <v>63</v>
      </c>
    </row>
    <row r="47" spans="1:63" x14ac:dyDescent="0.25">
      <c r="A47" t="s">
        <v>155</v>
      </c>
      <c r="B47">
        <v>308416</v>
      </c>
      <c r="C47">
        <v>201012207</v>
      </c>
      <c r="D47" t="s">
        <v>156</v>
      </c>
      <c r="E47" t="s">
        <v>61</v>
      </c>
      <c r="F47">
        <v>1</v>
      </c>
      <c r="G47">
        <v>5</v>
      </c>
      <c r="K47">
        <v>3</v>
      </c>
      <c r="M47">
        <v>1</v>
      </c>
      <c r="N47">
        <f t="shared" si="0"/>
        <v>4</v>
      </c>
      <c r="O47">
        <v>3</v>
      </c>
      <c r="P47">
        <v>1</v>
      </c>
      <c r="Q47">
        <v>1</v>
      </c>
      <c r="R47">
        <f t="shared" si="1"/>
        <v>5</v>
      </c>
      <c r="AB47">
        <v>100</v>
      </c>
      <c r="AC47">
        <v>100</v>
      </c>
      <c r="AD47">
        <v>25</v>
      </c>
      <c r="AE47">
        <v>25</v>
      </c>
      <c r="AH47">
        <v>0</v>
      </c>
      <c r="AI47">
        <v>0</v>
      </c>
      <c r="AL47">
        <v>0</v>
      </c>
      <c r="AM47">
        <v>0</v>
      </c>
      <c r="AT47">
        <v>0</v>
      </c>
      <c r="AU47">
        <v>0</v>
      </c>
      <c r="BD47">
        <v>100</v>
      </c>
      <c r="BE47">
        <v>100</v>
      </c>
      <c r="BF47">
        <v>5.88</v>
      </c>
      <c r="BG47">
        <v>5.88</v>
      </c>
      <c r="BH47" t="s">
        <v>62</v>
      </c>
      <c r="BI47" t="s">
        <v>62</v>
      </c>
      <c r="BJ47" t="s">
        <v>63</v>
      </c>
      <c r="BK47" t="s">
        <v>63</v>
      </c>
    </row>
    <row r="48" spans="1:63" x14ac:dyDescent="0.25">
      <c r="A48" s="3" t="s">
        <v>157</v>
      </c>
      <c r="B48">
        <v>354172</v>
      </c>
      <c r="C48">
        <v>201103635</v>
      </c>
      <c r="D48" t="s">
        <v>158</v>
      </c>
      <c r="E48" t="s">
        <v>61</v>
      </c>
      <c r="F48">
        <v>1</v>
      </c>
      <c r="G48">
        <v>5</v>
      </c>
      <c r="K48">
        <v>3</v>
      </c>
      <c r="L48">
        <v>1</v>
      </c>
      <c r="M48">
        <v>1</v>
      </c>
      <c r="N48">
        <f t="shared" si="0"/>
        <v>5</v>
      </c>
      <c r="O48">
        <v>3</v>
      </c>
      <c r="Q48">
        <v>1</v>
      </c>
      <c r="R48">
        <f t="shared" si="1"/>
        <v>4</v>
      </c>
      <c r="AB48">
        <v>100</v>
      </c>
      <c r="AC48">
        <v>100</v>
      </c>
      <c r="AD48">
        <v>25</v>
      </c>
      <c r="AE48">
        <v>25</v>
      </c>
      <c r="AH48">
        <v>0</v>
      </c>
      <c r="AI48">
        <v>0</v>
      </c>
      <c r="AL48">
        <v>0</v>
      </c>
      <c r="AM48">
        <v>0</v>
      </c>
      <c r="AT48">
        <v>0</v>
      </c>
      <c r="AU48">
        <v>0</v>
      </c>
      <c r="BD48">
        <v>100</v>
      </c>
      <c r="BE48">
        <v>100</v>
      </c>
      <c r="BF48">
        <v>5.88</v>
      </c>
      <c r="BG48">
        <v>5.88</v>
      </c>
      <c r="BH48" t="s">
        <v>62</v>
      </c>
      <c r="BI48" t="s">
        <v>62</v>
      </c>
      <c r="BJ48" t="s">
        <v>63</v>
      </c>
      <c r="BK48" t="s">
        <v>63</v>
      </c>
    </row>
    <row r="49" spans="1:63" x14ac:dyDescent="0.25">
      <c r="A49" t="s">
        <v>159</v>
      </c>
      <c r="B49">
        <v>360704</v>
      </c>
      <c r="C49">
        <v>201151933</v>
      </c>
      <c r="D49" t="s">
        <v>160</v>
      </c>
      <c r="E49" t="s">
        <v>61</v>
      </c>
      <c r="F49">
        <v>1</v>
      </c>
      <c r="G49">
        <v>5</v>
      </c>
      <c r="K49">
        <v>3</v>
      </c>
      <c r="L49">
        <v>1</v>
      </c>
      <c r="M49">
        <v>1</v>
      </c>
      <c r="N49">
        <f t="shared" si="0"/>
        <v>5</v>
      </c>
      <c r="O49">
        <v>3</v>
      </c>
      <c r="Q49">
        <v>1</v>
      </c>
      <c r="R49">
        <f t="shared" si="1"/>
        <v>4</v>
      </c>
      <c r="AB49">
        <v>100</v>
      </c>
      <c r="AC49">
        <v>100</v>
      </c>
      <c r="AD49">
        <v>25</v>
      </c>
      <c r="AE49">
        <v>25</v>
      </c>
      <c r="AH49">
        <v>0</v>
      </c>
      <c r="AI49">
        <v>0</v>
      </c>
      <c r="AL49">
        <v>0</v>
      </c>
      <c r="AM49">
        <v>0</v>
      </c>
      <c r="AT49">
        <v>0</v>
      </c>
      <c r="AU49">
        <v>0</v>
      </c>
      <c r="BD49">
        <v>100</v>
      </c>
      <c r="BE49">
        <v>100</v>
      </c>
      <c r="BF49">
        <v>5.88</v>
      </c>
      <c r="BG49">
        <v>5.88</v>
      </c>
      <c r="BH49" t="s">
        <v>62</v>
      </c>
      <c r="BI49" t="s">
        <v>62</v>
      </c>
      <c r="BJ49" t="s">
        <v>63</v>
      </c>
      <c r="BK49" t="s">
        <v>63</v>
      </c>
    </row>
    <row r="50" spans="1:63" x14ac:dyDescent="0.25">
      <c r="A50" t="s">
        <v>161</v>
      </c>
      <c r="B50">
        <v>277069</v>
      </c>
      <c r="C50">
        <v>200905106</v>
      </c>
      <c r="D50" t="s">
        <v>162</v>
      </c>
      <c r="E50" t="s">
        <v>61</v>
      </c>
      <c r="F50">
        <v>1</v>
      </c>
      <c r="G50">
        <v>5</v>
      </c>
      <c r="H50">
        <v>4.5</v>
      </c>
      <c r="K50">
        <v>3</v>
      </c>
      <c r="L50">
        <v>1</v>
      </c>
      <c r="M50">
        <v>1</v>
      </c>
      <c r="N50">
        <f t="shared" si="0"/>
        <v>5</v>
      </c>
      <c r="O50">
        <v>2</v>
      </c>
      <c r="P50">
        <v>1</v>
      </c>
      <c r="Q50">
        <v>1</v>
      </c>
      <c r="R50">
        <f t="shared" si="1"/>
        <v>4</v>
      </c>
      <c r="AB50">
        <v>95</v>
      </c>
      <c r="AC50">
        <v>95</v>
      </c>
      <c r="AD50">
        <v>47.5</v>
      </c>
      <c r="AE50">
        <v>47.5</v>
      </c>
      <c r="AH50">
        <v>0</v>
      </c>
      <c r="AI50">
        <v>0</v>
      </c>
      <c r="AL50">
        <v>0</v>
      </c>
      <c r="AM50">
        <v>0</v>
      </c>
      <c r="AT50">
        <v>0</v>
      </c>
      <c r="AU50">
        <v>0</v>
      </c>
      <c r="BD50">
        <v>95</v>
      </c>
      <c r="BE50">
        <v>95</v>
      </c>
      <c r="BF50">
        <v>11.18</v>
      </c>
      <c r="BG50">
        <v>11.18</v>
      </c>
      <c r="BH50" t="s">
        <v>62</v>
      </c>
      <c r="BI50" t="s">
        <v>62</v>
      </c>
      <c r="BJ50" t="s">
        <v>63</v>
      </c>
      <c r="BK50" t="s">
        <v>63</v>
      </c>
    </row>
    <row r="51" spans="1:63" x14ac:dyDescent="0.25">
      <c r="A51" t="s">
        <v>163</v>
      </c>
      <c r="B51">
        <v>348527</v>
      </c>
      <c r="C51">
        <v>201135377</v>
      </c>
      <c r="D51" t="s">
        <v>164</v>
      </c>
      <c r="E51" t="s">
        <v>61</v>
      </c>
      <c r="F51">
        <v>1</v>
      </c>
      <c r="G51">
        <v>5</v>
      </c>
      <c r="K51">
        <v>3</v>
      </c>
      <c r="L51">
        <v>1</v>
      </c>
      <c r="M51">
        <v>1</v>
      </c>
      <c r="N51">
        <f t="shared" si="0"/>
        <v>5</v>
      </c>
      <c r="O51">
        <v>3</v>
      </c>
      <c r="Q51">
        <v>1</v>
      </c>
      <c r="R51">
        <f t="shared" si="1"/>
        <v>4</v>
      </c>
      <c r="AB51">
        <v>100</v>
      </c>
      <c r="AC51">
        <v>100</v>
      </c>
      <c r="AD51">
        <v>25</v>
      </c>
      <c r="AE51">
        <v>25</v>
      </c>
      <c r="AH51">
        <v>0</v>
      </c>
      <c r="AI51">
        <v>0</v>
      </c>
      <c r="AL51">
        <v>0</v>
      </c>
      <c r="AM51">
        <v>0</v>
      </c>
      <c r="AT51">
        <v>0</v>
      </c>
      <c r="AU51">
        <v>0</v>
      </c>
      <c r="BD51">
        <v>100</v>
      </c>
      <c r="BE51">
        <v>100</v>
      </c>
      <c r="BF51">
        <v>5.88</v>
      </c>
      <c r="BG51">
        <v>5.88</v>
      </c>
      <c r="BH51" t="s">
        <v>62</v>
      </c>
      <c r="BI51" t="s">
        <v>62</v>
      </c>
      <c r="BJ51" t="s">
        <v>63</v>
      </c>
      <c r="BK51" t="s">
        <v>63</v>
      </c>
    </row>
    <row r="52" spans="1:63" x14ac:dyDescent="0.25">
      <c r="A52" t="s">
        <v>165</v>
      </c>
      <c r="B52">
        <v>424071</v>
      </c>
      <c r="D52" s="1" t="s">
        <v>166</v>
      </c>
      <c r="E52" t="s">
        <v>61</v>
      </c>
      <c r="F52">
        <v>1</v>
      </c>
      <c r="N52">
        <f t="shared" si="0"/>
        <v>0</v>
      </c>
      <c r="R52">
        <f t="shared" si="1"/>
        <v>0</v>
      </c>
      <c r="AD52">
        <v>0</v>
      </c>
      <c r="AE52">
        <v>0</v>
      </c>
      <c r="AH52">
        <v>0</v>
      </c>
      <c r="AI52">
        <v>0</v>
      </c>
      <c r="AL52">
        <v>0</v>
      </c>
      <c r="AM52">
        <v>0</v>
      </c>
      <c r="AT52">
        <v>0</v>
      </c>
      <c r="AU52">
        <v>0</v>
      </c>
      <c r="BF52">
        <v>0</v>
      </c>
      <c r="BG52">
        <v>0</v>
      </c>
      <c r="BJ52" t="s">
        <v>63</v>
      </c>
      <c r="BK52" t="s">
        <v>63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Robelo</cp:lastModifiedBy>
  <dcterms:created xsi:type="dcterms:W3CDTF">2025-05-20T16:16:44Z</dcterms:created>
  <dcterms:modified xsi:type="dcterms:W3CDTF">2025-05-29T12:34:00Z</dcterms:modified>
</cp:coreProperties>
</file>